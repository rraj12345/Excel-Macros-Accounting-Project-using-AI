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et\Desktop\"/>
    </mc:Choice>
  </mc:AlternateContent>
  <bookViews>
    <workbookView xWindow="0" yWindow="0" windowWidth="17970" windowHeight="5760" tabRatio="811"/>
  </bookViews>
  <sheets>
    <sheet name="DATA DUMP" sheetId="1" r:id="rId1"/>
    <sheet name="Factory Receive" sheetId="13" r:id="rId2"/>
    <sheet name="Factory Repairing" sheetId="12" r:id="rId3"/>
    <sheet name="Factory Pending" sheetId="11" r:id="rId4"/>
    <sheet name="RESULT" sheetId="2" r:id="rId5"/>
    <sheet name="Master" sheetId="3" r:id="rId6"/>
    <sheet name="PARTY MASTER" sheetId="5" r:id="rId7"/>
    <sheet name="INVOICE" sheetId="4" r:id="rId8"/>
  </sheets>
  <definedNames>
    <definedName name="_xlnm._FilterDatabase" localSheetId="0" hidden="1">'DATA DUMP'!$A$1:$AM$78</definedName>
    <definedName name="_xlnm.Print_Area" localSheetId="7">INVOICE!$B$1:$J$94</definedName>
    <definedName name="_xlnm.Print_Area" localSheetId="4">RESULT!$A$1:$K$84</definedName>
  </definedNames>
  <calcPr calcId="162913"/>
</workbook>
</file>

<file path=xl/calcChain.xml><?xml version="1.0" encoding="utf-8"?>
<calcChain xmlns="http://schemas.openxmlformats.org/spreadsheetml/2006/main">
  <c r="O21" i="2" l="1"/>
  <c r="O25" i="2"/>
  <c r="O29" i="2"/>
  <c r="O26" i="2"/>
  <c r="N25" i="2"/>
  <c r="N22" i="2"/>
  <c r="N26" i="2"/>
  <c r="N30" i="2"/>
  <c r="O22" i="2"/>
  <c r="O30" i="2"/>
  <c r="N23" i="2"/>
  <c r="N27" i="2"/>
  <c r="N31" i="2"/>
  <c r="O24" i="2"/>
  <c r="N29" i="2"/>
  <c r="O23" i="2"/>
  <c r="O27" i="2"/>
  <c r="O31" i="2"/>
  <c r="N28" i="2"/>
  <c r="O28" i="2"/>
  <c r="N24" i="2"/>
  <c r="N21" i="2"/>
  <c r="N5" i="2"/>
  <c r="N9" i="2"/>
  <c r="N13" i="2"/>
  <c r="O7" i="2"/>
  <c r="N12" i="2"/>
  <c r="O5" i="2"/>
  <c r="O9" i="2"/>
  <c r="O13" i="2"/>
  <c r="N11" i="2"/>
  <c r="N8" i="2"/>
  <c r="O12" i="2"/>
  <c r="N6" i="2"/>
  <c r="N10" i="2"/>
  <c r="N14" i="2"/>
  <c r="O11" i="2"/>
  <c r="O4" i="2"/>
  <c r="O6" i="2"/>
  <c r="O10" i="2"/>
  <c r="O14" i="2"/>
  <c r="N7" i="2"/>
  <c r="N4" i="2"/>
  <c r="O8" i="2"/>
  <c r="O3" i="2"/>
  <c r="N3" i="2"/>
  <c r="N20" i="2"/>
  <c r="O20" i="2"/>
  <c r="N32" i="2"/>
  <c r="O32" i="2"/>
  <c r="E75" i="2" l="1"/>
  <c r="F75" i="2"/>
  <c r="E76" i="2"/>
  <c r="F76" i="2"/>
  <c r="E77" i="2"/>
  <c r="F77" i="2"/>
  <c r="E78" i="2"/>
  <c r="F78" i="2"/>
  <c r="A10" i="4" l="1"/>
  <c r="G75" i="2"/>
  <c r="G76" i="2"/>
  <c r="G77" i="2"/>
  <c r="G78" i="2"/>
  <c r="C69" i="4"/>
  <c r="C70" i="4"/>
  <c r="C71" i="4"/>
  <c r="C72" i="4"/>
  <c r="C73" i="4"/>
  <c r="C74" i="4"/>
  <c r="C75" i="4"/>
  <c r="C76" i="4"/>
  <c r="C68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I66" i="4"/>
  <c r="H66" i="4"/>
  <c r="G64" i="2"/>
  <c r="G65" i="2"/>
  <c r="G66" i="2"/>
  <c r="G67" i="2"/>
  <c r="G68" i="2"/>
  <c r="G69" i="2"/>
  <c r="G70" i="2"/>
  <c r="G71" i="2"/>
  <c r="G72" i="2"/>
  <c r="G73" i="2"/>
  <c r="G74" i="2"/>
  <c r="G63" i="2"/>
  <c r="C67" i="4"/>
  <c r="C10" i="4"/>
  <c r="C66" i="4" s="1"/>
  <c r="F72" i="2" l="1"/>
  <c r="F64" i="2"/>
  <c r="E72" i="2"/>
  <c r="E68" i="2"/>
  <c r="E64" i="2"/>
  <c r="F71" i="2"/>
  <c r="F67" i="2"/>
  <c r="F68" i="2"/>
  <c r="E71" i="2"/>
  <c r="E67" i="2"/>
  <c r="F74" i="2"/>
  <c r="F70" i="2"/>
  <c r="F66" i="2"/>
  <c r="E74" i="2"/>
  <c r="E70" i="2"/>
  <c r="E66" i="2"/>
  <c r="F73" i="2"/>
  <c r="F69" i="2"/>
  <c r="F65" i="2"/>
  <c r="E73" i="2"/>
  <c r="H73" i="2" s="1"/>
  <c r="E69" i="2"/>
  <c r="E65" i="2"/>
  <c r="F63" i="2"/>
  <c r="E63" i="2"/>
  <c r="O33" i="2"/>
  <c r="N33" i="2"/>
  <c r="O16" i="2"/>
  <c r="N16" i="2"/>
  <c r="H77" i="2"/>
  <c r="H78" i="2"/>
  <c r="H76" i="2"/>
  <c r="H75" i="2"/>
  <c r="I5" i="4"/>
  <c r="C60" i="4" l="1"/>
  <c r="I60" i="4"/>
  <c r="B67" i="4"/>
  <c r="B68" i="4" s="1"/>
  <c r="B69" i="4" s="1"/>
  <c r="B70" i="4" s="1"/>
  <c r="B71" i="4" s="1"/>
  <c r="B72" i="4" s="1"/>
  <c r="B73" i="4" s="1"/>
  <c r="B74" i="4" s="1"/>
  <c r="B75" i="4" s="1"/>
  <c r="B76" i="4" s="1"/>
  <c r="C63" i="4"/>
  <c r="C62" i="4"/>
  <c r="I61" i="4"/>
  <c r="C61" i="4"/>
  <c r="B11" i="4"/>
  <c r="B12" i="4" s="1"/>
  <c r="B13" i="4" s="1"/>
  <c r="B14" i="4" s="1"/>
  <c r="B15" i="4" s="1"/>
  <c r="B16" i="4" s="1"/>
  <c r="B17" i="4" s="1"/>
  <c r="B18" i="4" s="1"/>
  <c r="B19" i="4" s="1"/>
  <c r="B20" i="4" s="1"/>
  <c r="C7" i="4"/>
  <c r="C6" i="4"/>
  <c r="C5" i="4"/>
  <c r="A5" i="5"/>
  <c r="A6" i="5" s="1"/>
  <c r="A7" i="5" s="1"/>
  <c r="A8" i="5" s="1"/>
  <c r="H82" i="2"/>
  <c r="E50" i="2"/>
  <c r="F38" i="2"/>
  <c r="AB38" i="3"/>
  <c r="AA38" i="3"/>
  <c r="E54" i="2" s="1"/>
  <c r="Z38" i="3"/>
  <c r="Y38" i="3"/>
  <c r="E53" i="2" s="1"/>
  <c r="X38" i="3"/>
  <c r="W38" i="3"/>
  <c r="E52" i="2" s="1"/>
  <c r="V38" i="3"/>
  <c r="U38" i="3"/>
  <c r="E51" i="2" s="1"/>
  <c r="T38" i="3"/>
  <c r="S38" i="3"/>
  <c r="R38" i="3"/>
  <c r="Q38" i="3"/>
  <c r="E49" i="2" s="1"/>
  <c r="P38" i="3"/>
  <c r="O38" i="3"/>
  <c r="E48" i="2" s="1"/>
  <c r="N38" i="3"/>
  <c r="M38" i="3"/>
  <c r="E47" i="2" s="1"/>
  <c r="L38" i="3"/>
  <c r="K38" i="3"/>
  <c r="E46" i="2" s="1"/>
  <c r="J38" i="3"/>
  <c r="I38" i="3"/>
  <c r="E45" i="2" s="1"/>
  <c r="H38" i="3"/>
  <c r="G38" i="3"/>
  <c r="E44" i="2" s="1"/>
  <c r="AD25" i="3"/>
  <c r="AD38" i="3" s="1"/>
  <c r="AC25" i="3"/>
  <c r="AC38" i="3" s="1"/>
  <c r="AB23" i="3"/>
  <c r="Z23" i="3"/>
  <c r="X23" i="3"/>
  <c r="V23" i="3"/>
  <c r="T23" i="3"/>
  <c r="R23" i="3"/>
  <c r="P23" i="3"/>
  <c r="N23" i="3"/>
  <c r="L23" i="3"/>
  <c r="J23" i="3"/>
  <c r="H23" i="3"/>
  <c r="F20" i="2"/>
  <c r="H4" i="2"/>
  <c r="H3" i="2"/>
  <c r="F4" i="2"/>
  <c r="F3" i="2"/>
  <c r="D4" i="2"/>
  <c r="E20" i="2" s="1"/>
  <c r="D3" i="2"/>
  <c r="D10" i="4" s="1"/>
  <c r="C46" i="3"/>
  <c r="C47" i="3"/>
  <c r="C48" i="3"/>
  <c r="C49" i="3"/>
  <c r="C50" i="3"/>
  <c r="C51" i="3"/>
  <c r="C52" i="3"/>
  <c r="C53" i="3"/>
  <c r="C54" i="3"/>
  <c r="C55" i="3"/>
  <c r="C45" i="3"/>
  <c r="AB3" i="3"/>
  <c r="Z3" i="3"/>
  <c r="X3" i="3"/>
  <c r="V3" i="3"/>
  <c r="T3" i="3"/>
  <c r="R3" i="3"/>
  <c r="P3" i="3"/>
  <c r="N3" i="3"/>
  <c r="L3" i="3"/>
  <c r="J3" i="3"/>
  <c r="H3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D5" i="3"/>
  <c r="AD18" i="3" s="1"/>
  <c r="AC5" i="3"/>
  <c r="AC18" i="3" s="1"/>
  <c r="H68" i="2"/>
  <c r="H71" i="2"/>
  <c r="H72" i="2"/>
  <c r="H64" i="2"/>
  <c r="H65" i="2"/>
  <c r="H67" i="2"/>
  <c r="F8" i="2" l="1"/>
  <c r="G10" i="4" s="1"/>
  <c r="G66" i="4" s="1"/>
  <c r="F11" i="2"/>
  <c r="G13" i="4" s="1"/>
  <c r="G69" i="4" s="1"/>
  <c r="G51" i="2"/>
  <c r="G31" i="2"/>
  <c r="G11" i="2"/>
  <c r="H11" i="2" s="1"/>
  <c r="G52" i="2"/>
  <c r="G32" i="2"/>
  <c r="G12" i="2"/>
  <c r="H12" i="2" s="1"/>
  <c r="G45" i="2"/>
  <c r="G53" i="2"/>
  <c r="G33" i="2"/>
  <c r="G13" i="2"/>
  <c r="H13" i="2" s="1"/>
  <c r="G46" i="2"/>
  <c r="G54" i="2"/>
  <c r="G34" i="2"/>
  <c r="G14" i="2"/>
  <c r="H14" i="2" s="1"/>
  <c r="G47" i="2"/>
  <c r="G27" i="2"/>
  <c r="G35" i="2"/>
  <c r="G15" i="2"/>
  <c r="H15" i="2" s="1"/>
  <c r="G48" i="2"/>
  <c r="G28" i="2"/>
  <c r="G36" i="2"/>
  <c r="G16" i="2"/>
  <c r="H16" i="2" s="1"/>
  <c r="G49" i="2"/>
  <c r="G29" i="2"/>
  <c r="G9" i="2"/>
  <c r="H9" i="2" s="1"/>
  <c r="G17" i="2"/>
  <c r="H17" i="2" s="1"/>
  <c r="G50" i="2"/>
  <c r="G30" i="2"/>
  <c r="G10" i="2"/>
  <c r="H10" i="2" s="1"/>
  <c r="G18" i="2"/>
  <c r="H18" i="2" s="1"/>
  <c r="D66" i="4"/>
  <c r="D78" i="4" s="1"/>
  <c r="D22" i="4"/>
  <c r="H20" i="2"/>
  <c r="F5" i="2"/>
  <c r="H70" i="2"/>
  <c r="H74" i="2"/>
  <c r="H66" i="2"/>
  <c r="H5" i="2"/>
  <c r="H69" i="2"/>
  <c r="H63" i="2"/>
  <c r="F45" i="2"/>
  <c r="F53" i="2"/>
  <c r="F46" i="2"/>
  <c r="E9" i="2"/>
  <c r="E27" i="2" s="1"/>
  <c r="F14" i="2"/>
  <c r="G16" i="4" s="1"/>
  <c r="G72" i="4" s="1"/>
  <c r="F9" i="2"/>
  <c r="G11" i="4" s="1"/>
  <c r="G67" i="4" s="1"/>
  <c r="F80" i="2"/>
  <c r="F17" i="2"/>
  <c r="G19" i="4" s="1"/>
  <c r="G75" i="4" s="1"/>
  <c r="E55" i="2"/>
  <c r="I44" i="2" s="1"/>
  <c r="E10" i="2"/>
  <c r="F52" i="2"/>
  <c r="E38" i="2"/>
  <c r="H38" i="2" s="1"/>
  <c r="E8" i="2"/>
  <c r="E17" i="2"/>
  <c r="G8" i="2"/>
  <c r="H8" i="2" s="1"/>
  <c r="F51" i="2"/>
  <c r="H51" i="2" s="1"/>
  <c r="E80" i="2"/>
  <c r="F13" i="2"/>
  <c r="G15" i="4" s="1"/>
  <c r="G71" i="4" s="1"/>
  <c r="E15" i="2"/>
  <c r="G44" i="2"/>
  <c r="F50" i="2"/>
  <c r="F10" i="2"/>
  <c r="G12" i="4" s="1"/>
  <c r="G68" i="4" s="1"/>
  <c r="E12" i="2"/>
  <c r="H53" i="2"/>
  <c r="F49" i="2"/>
  <c r="E18" i="2"/>
  <c r="E13" i="2"/>
  <c r="F18" i="2"/>
  <c r="G20" i="4" s="1"/>
  <c r="G76" i="4" s="1"/>
  <c r="F16" i="2"/>
  <c r="G18" i="4" s="1"/>
  <c r="G74" i="4" s="1"/>
  <c r="E11" i="2"/>
  <c r="F48" i="2"/>
  <c r="E16" i="2"/>
  <c r="F15" i="2"/>
  <c r="G17" i="4" s="1"/>
  <c r="G73" i="4" s="1"/>
  <c r="E14" i="2"/>
  <c r="F44" i="2"/>
  <c r="F47" i="2"/>
  <c r="F12" i="2"/>
  <c r="G14" i="4" s="1"/>
  <c r="G70" i="4" s="1"/>
  <c r="G26" i="2"/>
  <c r="F54" i="2"/>
  <c r="H54" i="2" s="1"/>
  <c r="H44" i="2" l="1"/>
  <c r="H50" i="2"/>
  <c r="H48" i="2"/>
  <c r="H46" i="2"/>
  <c r="H47" i="2"/>
  <c r="H45" i="2"/>
  <c r="H52" i="2"/>
  <c r="H49" i="2"/>
  <c r="I73" i="2"/>
  <c r="I77" i="2"/>
  <c r="I75" i="2"/>
  <c r="I76" i="2"/>
  <c r="I78" i="2"/>
  <c r="J78" i="2"/>
  <c r="J76" i="2"/>
  <c r="J77" i="2"/>
  <c r="J75" i="2"/>
  <c r="J72" i="2"/>
  <c r="J68" i="2"/>
  <c r="J67" i="2"/>
  <c r="J65" i="2"/>
  <c r="J73" i="2"/>
  <c r="J64" i="2"/>
  <c r="J63" i="2"/>
  <c r="J71" i="2"/>
  <c r="J66" i="2"/>
  <c r="J70" i="2"/>
  <c r="J74" i="2"/>
  <c r="J69" i="2"/>
  <c r="H80" i="2"/>
  <c r="F20" i="4"/>
  <c r="F76" i="4" s="1"/>
  <c r="F10" i="4"/>
  <c r="F66" i="4" s="1"/>
  <c r="F12" i="4"/>
  <c r="F68" i="4" s="1"/>
  <c r="F13" i="4"/>
  <c r="F69" i="4" s="1"/>
  <c r="F11" i="4"/>
  <c r="F67" i="4" s="1"/>
  <c r="F16" i="4"/>
  <c r="F72" i="4" s="1"/>
  <c r="F18" i="4"/>
  <c r="F74" i="4" s="1"/>
  <c r="F14" i="4"/>
  <c r="F70" i="4" s="1"/>
  <c r="F17" i="4"/>
  <c r="F73" i="4" s="1"/>
  <c r="F15" i="4"/>
  <c r="F71" i="4" s="1"/>
  <c r="F19" i="4"/>
  <c r="F75" i="4" s="1"/>
  <c r="F35" i="2"/>
  <c r="G78" i="4"/>
  <c r="F27" i="2"/>
  <c r="H27" i="2" s="1"/>
  <c r="G22" i="4"/>
  <c r="I70" i="2"/>
  <c r="E30" i="2"/>
  <c r="E33" i="2"/>
  <c r="I45" i="2"/>
  <c r="F31" i="2"/>
  <c r="F30" i="2"/>
  <c r="I55" i="2"/>
  <c r="E58" i="2"/>
  <c r="F55" i="2"/>
  <c r="J54" i="2" s="1"/>
  <c r="F28" i="2"/>
  <c r="I65" i="2"/>
  <c r="I71" i="2"/>
  <c r="I66" i="2"/>
  <c r="I72" i="2"/>
  <c r="I74" i="2"/>
  <c r="I68" i="2"/>
  <c r="I67" i="2"/>
  <c r="I69" i="2"/>
  <c r="I63" i="2"/>
  <c r="I64" i="2"/>
  <c r="E35" i="2"/>
  <c r="I48" i="2"/>
  <c r="I50" i="2"/>
  <c r="I51" i="2"/>
  <c r="E31" i="2"/>
  <c r="E36" i="2"/>
  <c r="E26" i="2"/>
  <c r="E19" i="2"/>
  <c r="I12" i="2" s="1"/>
  <c r="E32" i="2"/>
  <c r="F29" i="2"/>
  <c r="I47" i="2"/>
  <c r="F26" i="2"/>
  <c r="I54" i="2"/>
  <c r="I53" i="2"/>
  <c r="F33" i="2"/>
  <c r="E28" i="2"/>
  <c r="F19" i="2"/>
  <c r="J16" i="2" s="1"/>
  <c r="I49" i="2"/>
  <c r="F36" i="2"/>
  <c r="E29" i="2"/>
  <c r="E34" i="2"/>
  <c r="F34" i="2"/>
  <c r="I52" i="2"/>
  <c r="F32" i="2"/>
  <c r="I46" i="2"/>
  <c r="H55" i="2" l="1"/>
  <c r="H57" i="2" s="1"/>
  <c r="J80" i="2"/>
  <c r="I80" i="2"/>
  <c r="H81" i="2"/>
  <c r="H83" i="2" s="1"/>
  <c r="F78" i="4"/>
  <c r="F22" i="4"/>
  <c r="J52" i="2"/>
  <c r="I18" i="2"/>
  <c r="I15" i="2"/>
  <c r="I10" i="2"/>
  <c r="I11" i="2"/>
  <c r="I13" i="2"/>
  <c r="I17" i="2"/>
  <c r="J10" i="2"/>
  <c r="J13" i="2"/>
  <c r="H34" i="2"/>
  <c r="H32" i="2"/>
  <c r="H36" i="2"/>
  <c r="H35" i="2"/>
  <c r="J55" i="2"/>
  <c r="F58" i="2"/>
  <c r="J53" i="2"/>
  <c r="J46" i="2"/>
  <c r="J45" i="2"/>
  <c r="J44" i="2"/>
  <c r="J48" i="2"/>
  <c r="H19" i="2"/>
  <c r="H28" i="2"/>
  <c r="J49" i="2"/>
  <c r="E22" i="2"/>
  <c r="I19" i="2"/>
  <c r="I9" i="2"/>
  <c r="H31" i="2"/>
  <c r="H30" i="2"/>
  <c r="J19" i="2"/>
  <c r="F22" i="2"/>
  <c r="J17" i="2"/>
  <c r="J14" i="2"/>
  <c r="J8" i="2"/>
  <c r="J9" i="2"/>
  <c r="J11" i="2"/>
  <c r="F37" i="2"/>
  <c r="J36" i="2" s="1"/>
  <c r="J51" i="2"/>
  <c r="J50" i="2"/>
  <c r="J18" i="2"/>
  <c r="J15" i="2"/>
  <c r="J47" i="2"/>
  <c r="H33" i="2"/>
  <c r="H29" i="2"/>
  <c r="H26" i="2"/>
  <c r="E37" i="2"/>
  <c r="I35" i="2" s="1"/>
  <c r="I16" i="2"/>
  <c r="I14" i="2"/>
  <c r="I8" i="2"/>
  <c r="J12" i="2"/>
  <c r="G55" i="2"/>
  <c r="I29" i="2" l="1"/>
  <c r="J32" i="2"/>
  <c r="J29" i="2"/>
  <c r="I31" i="2"/>
  <c r="I26" i="2"/>
  <c r="J34" i="2"/>
  <c r="J30" i="2"/>
  <c r="J26" i="2"/>
  <c r="I28" i="2"/>
  <c r="I33" i="2"/>
  <c r="J28" i="2"/>
  <c r="I32" i="2"/>
  <c r="J33" i="2"/>
  <c r="I30" i="2"/>
  <c r="H37" i="2"/>
  <c r="G19" i="2"/>
  <c r="H21" i="2"/>
  <c r="I34" i="2"/>
  <c r="F59" i="2"/>
  <c r="E59" i="2"/>
  <c r="I37" i="2"/>
  <c r="E40" i="2"/>
  <c r="I27" i="2"/>
  <c r="F40" i="2"/>
  <c r="J37" i="2"/>
  <c r="J27" i="2"/>
  <c r="J35" i="2"/>
  <c r="J31" i="2"/>
  <c r="I36" i="2"/>
  <c r="F23" i="2" l="1"/>
  <c r="E23" i="2"/>
  <c r="H39" i="2"/>
  <c r="G37" i="2"/>
  <c r="F41" i="2" l="1"/>
  <c r="E41" i="2"/>
  <c r="H84" i="2" s="1"/>
</calcChain>
</file>

<file path=xl/sharedStrings.xml><?xml version="1.0" encoding="utf-8"?>
<sst xmlns="http://schemas.openxmlformats.org/spreadsheetml/2006/main" count="549" uniqueCount="172">
  <si>
    <t xml:space="preserve">Selected Cut No : </t>
  </si>
  <si>
    <t>Invoice No</t>
  </si>
  <si>
    <t>kapan No</t>
  </si>
  <si>
    <t>Cut Wt</t>
  </si>
  <si>
    <t xml:space="preserve">Plan Main Pc </t>
  </si>
  <si>
    <t xml:space="preserve">Plan Polish Pc </t>
  </si>
  <si>
    <t xml:space="preserve">Plan Dm
 Wt </t>
  </si>
  <si>
    <t xml:space="preserve">Plan 
Dm % </t>
  </si>
  <si>
    <t xml:space="preserve">Mackable
 Pc </t>
  </si>
  <si>
    <t xml:space="preserve">Mackable Dm Wt </t>
  </si>
  <si>
    <t xml:space="preserve">Mackable Dm % </t>
  </si>
  <si>
    <t>Breking Pc</t>
  </si>
  <si>
    <t>Breking Wt</t>
  </si>
  <si>
    <t>Mk Size</t>
  </si>
  <si>
    <t>Polish Size</t>
  </si>
  <si>
    <t xml:space="preserve">Plan Pend </t>
  </si>
  <si>
    <t xml:space="preserve">Mk OP
 </t>
  </si>
  <si>
    <t xml:space="preserve">Gum Thayel
 </t>
  </si>
  <si>
    <t>Pc</t>
  </si>
  <si>
    <t>Wt</t>
  </si>
  <si>
    <t>POLISH</t>
  </si>
  <si>
    <t>Shape</t>
  </si>
  <si>
    <t>PoWt</t>
  </si>
  <si>
    <t>PO.
Per %</t>
  </si>
  <si>
    <t>Per %</t>
  </si>
  <si>
    <t>ROUND</t>
  </si>
  <si>
    <t>FANCY</t>
  </si>
  <si>
    <t>EMRALD</t>
  </si>
  <si>
    <t>Total :</t>
  </si>
  <si>
    <t>100.00</t>
  </si>
  <si>
    <t>Process Pending</t>
  </si>
  <si>
    <t>Process</t>
  </si>
  <si>
    <t>Pkt</t>
  </si>
  <si>
    <t>DmWt</t>
  </si>
  <si>
    <t>Dm %</t>
  </si>
  <si>
    <t>ORG KACHA</t>
  </si>
  <si>
    <t>FARELA</t>
  </si>
  <si>
    <t>Factory Pending Detail</t>
  </si>
  <si>
    <t>Factory</t>
  </si>
  <si>
    <t xml:space="preserve">
Lot</t>
  </si>
  <si>
    <t xml:space="preserve">
Pc</t>
  </si>
  <si>
    <t xml:space="preserve">
Wt</t>
  </si>
  <si>
    <t>Dm
Wt</t>
  </si>
  <si>
    <t>Dm
Per%</t>
  </si>
  <si>
    <t>HR</t>
  </si>
  <si>
    <t>S T</t>
  </si>
  <si>
    <t>S P FNCY</t>
  </si>
  <si>
    <t>HR*</t>
  </si>
  <si>
    <t>P.P.IDEAL</t>
  </si>
  <si>
    <t>CHAKRI PALCHU</t>
  </si>
  <si>
    <t>SHONDHAJI</t>
  </si>
  <si>
    <t>SURAT POLISH</t>
  </si>
  <si>
    <t xml:space="preserve">Total : </t>
  </si>
  <si>
    <t>Factory Repairing Pending Detail</t>
  </si>
  <si>
    <t>BHADRESHBHAI SONI</t>
  </si>
  <si>
    <t>Factory Receive Detail</t>
  </si>
  <si>
    <t>Size</t>
  </si>
  <si>
    <t>Pol.Diff
Per%</t>
  </si>
  <si>
    <t>NARSHIBHAI CHOKEY</t>
  </si>
  <si>
    <t>MEHULBHAI</t>
  </si>
  <si>
    <t>UMESHBHAI FANCY</t>
  </si>
  <si>
    <t>CHOKY</t>
  </si>
  <si>
    <t>TOTAL</t>
  </si>
  <si>
    <t>GALAXY</t>
  </si>
  <si>
    <t>SIZE</t>
  </si>
  <si>
    <t>MAJURY</t>
  </si>
  <si>
    <t xml:space="preserve">                                          </t>
  </si>
  <si>
    <t>CLV</t>
  </si>
  <si>
    <t>+30</t>
  </si>
  <si>
    <t>+23</t>
  </si>
  <si>
    <t>+18</t>
  </si>
  <si>
    <t>+14</t>
  </si>
  <si>
    <t>+11</t>
  </si>
  <si>
    <t>+6.5</t>
  </si>
  <si>
    <t>-6.5</t>
  </si>
  <si>
    <t>4 STEP</t>
  </si>
  <si>
    <t>Party Name</t>
  </si>
  <si>
    <t>Pcs</t>
  </si>
  <si>
    <t>Cts</t>
  </si>
  <si>
    <t>Rate</t>
  </si>
  <si>
    <t>Totat Amt</t>
  </si>
  <si>
    <t>Grand Total</t>
  </si>
  <si>
    <t>PCS</t>
  </si>
  <si>
    <t>CTS</t>
  </si>
  <si>
    <t>Party</t>
  </si>
  <si>
    <t>% Of Prod.Pcs</t>
  </si>
  <si>
    <t>Mfg P/Pcs Cost</t>
  </si>
  <si>
    <t>Total Cost</t>
  </si>
  <si>
    <t>% Of Produ.Pcs</t>
  </si>
  <si>
    <t>LOT RESULT WORKING</t>
  </si>
  <si>
    <t>CHARNI WISE TOTAL DATA</t>
  </si>
  <si>
    <t>SHAPE TYPE</t>
  </si>
  <si>
    <t>Rate Master</t>
  </si>
  <si>
    <t>Charni</t>
  </si>
  <si>
    <t>Rate Fr</t>
  </si>
  <si>
    <t>Labour</t>
  </si>
  <si>
    <t>9/11</t>
  </si>
  <si>
    <t/>
  </si>
  <si>
    <t>7/9</t>
  </si>
  <si>
    <t xml:space="preserve">  </t>
  </si>
  <si>
    <t>Filter for Lots Rate</t>
  </si>
  <si>
    <t>For Rate Filter</t>
  </si>
  <si>
    <t>Cut Cts</t>
  </si>
  <si>
    <t>Plan Main Pcs</t>
  </si>
  <si>
    <t>Plan Pol Pcs</t>
  </si>
  <si>
    <t>Plan Dm Cts</t>
  </si>
  <si>
    <t>Plan Dm %</t>
  </si>
  <si>
    <t>Mkb Pcs</t>
  </si>
  <si>
    <t>Mkb Dm Cts</t>
  </si>
  <si>
    <t>Mkb Dm %</t>
  </si>
  <si>
    <t xml:space="preserve">Total Labour </t>
  </si>
  <si>
    <t>Gal Rate</t>
  </si>
  <si>
    <t>REPAIRING CHARNI WISE TOTAL DATA</t>
  </si>
  <si>
    <t>Reparing Manual Details</t>
  </si>
  <si>
    <t>OVER ALL (TOTAL)</t>
  </si>
  <si>
    <t>P/Pcs Majury</t>
  </si>
  <si>
    <t>Clv Rate</t>
  </si>
  <si>
    <t>% Of Produ.Cts</t>
  </si>
  <si>
    <t>DILIVERY CHALLAN</t>
  </si>
  <si>
    <t>MANISH BHUPENDRABHAI PATEL</t>
  </si>
  <si>
    <t>PLOT NO. 1 ROOM NO 302 LALITA ESTATE, NANDU DOSHI NI WADI, KATARGAM SURAT - 395004</t>
  </si>
  <si>
    <t>M/s.</t>
  </si>
  <si>
    <t>SUBIR DIAMONDS PVT LTD</t>
  </si>
  <si>
    <t>INVOICE NO:</t>
  </si>
  <si>
    <t>Add.</t>
  </si>
  <si>
    <t>BDB, BKC BANDRA,MUMBAI</t>
  </si>
  <si>
    <t>Date :</t>
  </si>
  <si>
    <t xml:space="preserve">GST NO : </t>
  </si>
  <si>
    <t>27AAACS6287Q1ZI</t>
  </si>
  <si>
    <t>OUR GST NO : 24AQVPP4100H1ZT</t>
  </si>
  <si>
    <t xml:space="preserve">PAN NO: </t>
  </si>
  <si>
    <t>OUR PAN NO: AQVPP4100H</t>
  </si>
  <si>
    <t xml:space="preserve">  STATE CODE : 24 (GUJARAT)</t>
  </si>
  <si>
    <t>Sr.No</t>
  </si>
  <si>
    <t>Description</t>
  </si>
  <si>
    <t>SUBJECT TO SURAT JURISDICTION</t>
  </si>
  <si>
    <t>FOR MANISH BHUPENDRABHAI PATEL</t>
  </si>
  <si>
    <t>(RECEIVER SIGNATURE)</t>
  </si>
  <si>
    <t>AUTHORISED SIGNATORY</t>
  </si>
  <si>
    <t>.</t>
  </si>
  <si>
    <t>SURESHCHANDRA RATANCHANDRA MEHTA</t>
  </si>
  <si>
    <t>27AAGFS6892Q1Z3</t>
  </si>
  <si>
    <t>POLAR STAR</t>
  </si>
  <si>
    <t>27AAAFP0525F1ZP</t>
  </si>
  <si>
    <t>SR NO</t>
  </si>
  <si>
    <t>PARTY NAME</t>
  </si>
  <si>
    <t>ADDRESSS</t>
  </si>
  <si>
    <t>GST NO</t>
  </si>
  <si>
    <t>PAN NO</t>
  </si>
  <si>
    <t>AAACS6287Q1</t>
  </si>
  <si>
    <t>AAGFS6892Q1</t>
  </si>
  <si>
    <t>AAAFP0525F1</t>
  </si>
  <si>
    <t>Details</t>
  </si>
  <si>
    <t>Party Rate Master for Update</t>
  </si>
  <si>
    <t>Place of supply : Surat, Gujarat</t>
  </si>
  <si>
    <t>KAPAN TALLY PRINT</t>
  </si>
  <si>
    <t>17A,17B</t>
  </si>
  <si>
    <t>145/Q/11/SUB</t>
  </si>
  <si>
    <t>17</t>
  </si>
  <si>
    <t>% Of Prod.Cts</t>
  </si>
  <si>
    <t>DUPLICATE DILIVERY CHALLAN</t>
  </si>
  <si>
    <t>Rough Cts</t>
  </si>
  <si>
    <t>Remark</t>
  </si>
  <si>
    <t>R P M</t>
  </si>
  <si>
    <t>HR IDEAL</t>
  </si>
  <si>
    <t>Code</t>
  </si>
  <si>
    <t>NEW BOMBAY</t>
  </si>
  <si>
    <t>PD</t>
  </si>
  <si>
    <t>ABCD</t>
  </si>
  <si>
    <t>Factory Pending</t>
  </si>
  <si>
    <t>Factory Repairing</t>
  </si>
  <si>
    <t>Factory Receive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</si>
</sst>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0.000"/>
    <numFmt numFmtId="165" formatCode="0.0"/>
  </numFmts>
  <fonts count="34">
    <font>
      <sz val="10"/>
      <color indexed="8"/>
      <name val="ARIAL"/>
      <charset val="1"/>
    </font>
    <font>
      <sz val="10"/>
      <color indexed="8"/>
      <name val="ARIAL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Georgia"/>
      <family val="1"/>
    </font>
    <font>
      <sz val="9"/>
      <color rgb="FF000000"/>
      <name val="Georgia"/>
      <family val="1"/>
    </font>
    <font>
      <b/>
      <sz val="8"/>
      <color rgb="FF000000"/>
      <name val="Calibri"/>
      <family val="2"/>
      <scheme val="minor"/>
    </font>
    <font>
      <b/>
      <sz val="9"/>
      <color rgb="FF000000"/>
      <name val="Rupee"/>
    </font>
    <font>
      <b/>
      <sz val="9"/>
      <name val="Calibri"/>
      <family val="2"/>
      <scheme val="minor"/>
    </font>
    <font>
      <b/>
      <sz val="9"/>
      <color rgb="FF000000"/>
      <name val="Georgia"/>
      <family val="1"/>
    </font>
    <font>
      <sz val="9"/>
      <color theme="1"/>
      <name val="Calibri"/>
      <family val="2"/>
      <scheme val="minor"/>
    </font>
    <font>
      <b/>
      <sz val="8"/>
      <color rgb="FF000000"/>
      <name val="Georgia"/>
      <family val="1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Rupee"/>
    </font>
    <font>
      <b/>
      <sz val="20"/>
      <color rgb="FF0000FF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>
      <alignment vertical="top"/>
    </xf>
    <xf numFmtId="43" fontId="1" fillId="0" borderId="0" applyFont="0" applyFill="0" applyBorder="0" applyAlignment="0" applyProtection="0">
      <alignment vertical="top"/>
    </xf>
    <xf numFmtId="9" fontId="1" fillId="0" borderId="0" applyFont="0" applyFill="0" applyBorder="0" applyAlignment="0" applyProtection="0">
      <alignment vertical="top"/>
    </xf>
  </cellStyleXfs>
  <cellXfs count="327">
    <xf numFmtId="0" fontId="0" fillId="0" borderId="0" xfId="0">
      <alignment vertical="top"/>
    </xf>
    <xf numFmtId="1" fontId="0" fillId="0" borderId="0" xfId="0" applyNumberFormat="1">
      <alignment vertical="top"/>
    </xf>
    <xf numFmtId="2" fontId="0" fillId="0" borderId="0" xfId="0" applyNumberFormat="1">
      <alignment vertical="top"/>
    </xf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65" fontId="11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/>
    </xf>
    <xf numFmtId="165" fontId="15" fillId="0" borderId="4" xfId="0" applyNumberFormat="1" applyFont="1" applyBorder="1" applyAlignment="1">
      <alignment horizontal="right" vertical="center"/>
    </xf>
    <xf numFmtId="165" fontId="0" fillId="0" borderId="5" xfId="0" applyNumberFormat="1" applyBorder="1" applyAlignment="1">
      <alignment horizontal="right"/>
    </xf>
    <xf numFmtId="165" fontId="16" fillId="0" borderId="5" xfId="1" applyNumberFormat="1" applyFont="1" applyFill="1" applyBorder="1" applyAlignment="1">
      <alignment horizontal="right"/>
    </xf>
    <xf numFmtId="165" fontId="0" fillId="0" borderId="6" xfId="0" applyNumberFormat="1" applyBorder="1" applyAlignment="1">
      <alignment horizontal="right"/>
    </xf>
    <xf numFmtId="165" fontId="0" fillId="0" borderId="7" xfId="0" applyNumberFormat="1" applyBorder="1" applyAlignment="1">
      <alignment horizontal="right"/>
    </xf>
    <xf numFmtId="2" fontId="0" fillId="0" borderId="2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165" fontId="0" fillId="0" borderId="9" xfId="0" applyNumberFormat="1" applyBorder="1" applyAlignment="1">
      <alignment horizontal="right"/>
    </xf>
    <xf numFmtId="165" fontId="12" fillId="0" borderId="0" xfId="0" applyNumberFormat="1" applyFont="1" applyAlignment="1">
      <alignment horizontal="right"/>
    </xf>
    <xf numFmtId="165" fontId="0" fillId="0" borderId="2" xfId="0" applyNumberFormat="1" applyBorder="1" applyAlignment="1">
      <alignment horizontal="right"/>
    </xf>
    <xf numFmtId="165" fontId="17" fillId="0" borderId="0" xfId="0" applyNumberFormat="1" applyFont="1" applyAlignment="1">
      <alignment horizontal="right"/>
    </xf>
    <xf numFmtId="0" fontId="0" fillId="0" borderId="0" xfId="0" quotePrefix="1">
      <alignment vertical="top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2" fillId="0" borderId="0" xfId="0" applyFont="1">
      <alignment vertical="top"/>
    </xf>
    <xf numFmtId="0" fontId="0" fillId="0" borderId="2" xfId="0" applyBorder="1">
      <alignment vertical="top"/>
    </xf>
    <xf numFmtId="0" fontId="0" fillId="0" borderId="2" xfId="0" quotePrefix="1" applyBorder="1">
      <alignment vertical="top"/>
    </xf>
    <xf numFmtId="0" fontId="3" fillId="0" borderId="2" xfId="0" applyFont="1" applyBorder="1">
      <alignment vertical="top"/>
    </xf>
    <xf numFmtId="165" fontId="0" fillId="0" borderId="2" xfId="0" applyNumberFormat="1" applyBorder="1" applyAlignment="1">
      <alignment horizontal="left"/>
    </xf>
    <xf numFmtId="0" fontId="3" fillId="0" borderId="2" xfId="0" applyFont="1" applyBorder="1" applyAlignment="1">
      <alignment horizontal="center" vertical="top"/>
    </xf>
    <xf numFmtId="165" fontId="0" fillId="0" borderId="0" xfId="0" applyNumberFormat="1" applyBorder="1" applyAlignment="1">
      <alignment horizontal="right"/>
    </xf>
    <xf numFmtId="165" fontId="0" fillId="0" borderId="5" xfId="0" applyNumberFormat="1" applyBorder="1" applyAlignment="1">
      <alignment horizontal="left"/>
    </xf>
    <xf numFmtId="165" fontId="18" fillId="0" borderId="2" xfId="0" applyNumberFormat="1" applyFont="1" applyBorder="1" applyAlignment="1">
      <alignment horizontal="right"/>
    </xf>
    <xf numFmtId="165" fontId="4" fillId="0" borderId="2" xfId="0" applyNumberFormat="1" applyFont="1" applyBorder="1" applyAlignment="1">
      <alignment horizontal="right"/>
    </xf>
    <xf numFmtId="165" fontId="18" fillId="0" borderId="2" xfId="0" applyNumberFormat="1" applyFont="1" applyBorder="1" applyAlignment="1">
      <alignment horizontal="left"/>
    </xf>
    <xf numFmtId="165" fontId="4" fillId="0" borderId="2" xfId="0" applyNumberFormat="1" applyFont="1" applyBorder="1" applyAlignment="1">
      <alignment horizontal="left"/>
    </xf>
    <xf numFmtId="165" fontId="19" fillId="0" borderId="2" xfId="0" applyNumberFormat="1" applyFont="1" applyBorder="1" applyAlignment="1">
      <alignment horizontal="left" vertical="center"/>
    </xf>
    <xf numFmtId="164" fontId="5" fillId="0" borderId="0" xfId="0" applyNumberFormat="1" applyFont="1" applyAlignment="1">
      <alignment horizontal="right"/>
    </xf>
    <xf numFmtId="0" fontId="5" fillId="0" borderId="0" xfId="0" applyFont="1">
      <alignment vertical="top"/>
    </xf>
    <xf numFmtId="165" fontId="19" fillId="0" borderId="2" xfId="0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165" fontId="19" fillId="0" borderId="0" xfId="0" quotePrefix="1" applyNumberFormat="1" applyFont="1" applyFill="1" applyBorder="1" applyAlignment="1">
      <alignment horizontal="center" vertical="center"/>
    </xf>
    <xf numFmtId="16" fontId="0" fillId="0" borderId="0" xfId="0" quotePrefix="1" applyNumberFormat="1">
      <alignment vertical="top"/>
    </xf>
    <xf numFmtId="0" fontId="0" fillId="0" borderId="0" xfId="0" applyBorder="1">
      <alignment vertical="top"/>
    </xf>
    <xf numFmtId="0" fontId="0" fillId="0" borderId="0" xfId="0" quotePrefix="1" applyBorder="1">
      <alignment vertical="top"/>
    </xf>
    <xf numFmtId="0" fontId="2" fillId="0" borderId="2" xfId="0" applyFont="1" applyBorder="1" applyAlignment="1">
      <alignment horizontal="center" vertical="top"/>
    </xf>
    <xf numFmtId="0" fontId="2" fillId="2" borderId="2" xfId="0" quotePrefix="1" applyFont="1" applyFill="1" applyBorder="1" applyAlignment="1">
      <alignment horizontal="center" vertical="top"/>
    </xf>
    <xf numFmtId="0" fontId="2" fillId="0" borderId="2" xfId="0" quotePrefix="1" applyFont="1" applyFill="1" applyBorder="1" applyAlignment="1">
      <alignment horizontal="center" vertical="top"/>
    </xf>
    <xf numFmtId="0" fontId="2" fillId="4" borderId="2" xfId="0" quotePrefix="1" applyFont="1" applyFill="1" applyBorder="1" applyAlignment="1">
      <alignment horizontal="center" vertical="top"/>
    </xf>
    <xf numFmtId="165" fontId="0" fillId="0" borderId="15" xfId="0" applyNumberFormat="1" applyBorder="1" applyAlignment="1">
      <alignment horizontal="right"/>
    </xf>
    <xf numFmtId="165" fontId="0" fillId="0" borderId="8" xfId="0" applyNumberFormat="1" applyBorder="1" applyAlignment="1">
      <alignment horizontal="right"/>
    </xf>
    <xf numFmtId="165" fontId="0" fillId="0" borderId="16" xfId="0" applyNumberFormat="1" applyBorder="1" applyAlignment="1">
      <alignment horizontal="right"/>
    </xf>
    <xf numFmtId="164" fontId="2" fillId="5" borderId="17" xfId="0" applyNumberFormat="1" applyFont="1" applyFill="1" applyBorder="1" applyAlignment="1">
      <alignment horizontal="right"/>
    </xf>
    <xf numFmtId="164" fontId="2" fillId="5" borderId="3" xfId="0" applyNumberFormat="1" applyFont="1" applyFill="1" applyBorder="1" applyAlignment="1">
      <alignment horizontal="right"/>
    </xf>
    <xf numFmtId="164" fontId="0" fillId="5" borderId="18" xfId="0" applyNumberFormat="1" applyFill="1" applyBorder="1" applyAlignment="1">
      <alignment horizontal="right"/>
    </xf>
    <xf numFmtId="165" fontId="2" fillId="5" borderId="6" xfId="0" applyNumberFormat="1" applyFont="1" applyFill="1" applyBorder="1" applyAlignment="1">
      <alignment horizontal="left"/>
    </xf>
    <xf numFmtId="165" fontId="2" fillId="5" borderId="2" xfId="0" applyNumberFormat="1" applyFont="1" applyFill="1" applyBorder="1" applyAlignment="1">
      <alignment horizontal="left"/>
    </xf>
    <xf numFmtId="165" fontId="2" fillId="5" borderId="8" xfId="0" applyNumberFormat="1" applyFont="1" applyFill="1" applyBorder="1" applyAlignment="1">
      <alignment horizontal="left"/>
    </xf>
    <xf numFmtId="165" fontId="2" fillId="5" borderId="6" xfId="0" applyNumberFormat="1" applyFont="1" applyFill="1" applyBorder="1" applyAlignment="1">
      <alignment horizontal="right"/>
    </xf>
    <xf numFmtId="165" fontId="2" fillId="5" borderId="2" xfId="0" applyNumberFormat="1" applyFont="1" applyFill="1" applyBorder="1" applyAlignment="1">
      <alignment horizontal="right"/>
    </xf>
    <xf numFmtId="165" fontId="2" fillId="5" borderId="8" xfId="0" applyNumberFormat="1" applyFont="1" applyFill="1" applyBorder="1" applyAlignment="1">
      <alignment horizontal="right"/>
    </xf>
    <xf numFmtId="2" fontId="15" fillId="0" borderId="5" xfId="0" applyNumberFormat="1" applyFont="1" applyBorder="1" applyAlignment="1">
      <alignment vertical="center"/>
    </xf>
    <xf numFmtId="2" fontId="16" fillId="0" borderId="5" xfId="1" applyNumberFormat="1" applyFont="1" applyBorder="1" applyAlignment="1"/>
    <xf numFmtId="165" fontId="16" fillId="0" borderId="5" xfId="1" applyNumberFormat="1" applyFont="1" applyBorder="1" applyAlignment="1"/>
    <xf numFmtId="164" fontId="0" fillId="0" borderId="0" xfId="0" applyNumberFormat="1" applyBorder="1" applyAlignment="1">
      <alignment horizontal="right"/>
    </xf>
    <xf numFmtId="165" fontId="15" fillId="0" borderId="0" xfId="0" applyNumberFormat="1" applyFont="1" applyBorder="1" applyAlignment="1">
      <alignment horizontal="right" vertical="center"/>
    </xf>
    <xf numFmtId="165" fontId="16" fillId="0" borderId="0" xfId="1" applyNumberFormat="1" applyFont="1" applyFill="1" applyBorder="1" applyAlignment="1">
      <alignment horizontal="right"/>
    </xf>
    <xf numFmtId="165" fontId="13" fillId="0" borderId="0" xfId="0" applyNumberFormat="1" applyFont="1" applyBorder="1" applyAlignment="1">
      <alignment horizontal="right" vertical="center"/>
    </xf>
    <xf numFmtId="2" fontId="15" fillId="5" borderId="19" xfId="0" applyNumberFormat="1" applyFont="1" applyFill="1" applyBorder="1" applyAlignment="1">
      <alignment vertical="center"/>
    </xf>
    <xf numFmtId="2" fontId="16" fillId="5" borderId="19" xfId="1" applyNumberFormat="1" applyFont="1" applyFill="1" applyBorder="1" applyAlignment="1"/>
    <xf numFmtId="165" fontId="16" fillId="5" borderId="19" xfId="1" applyNumberFormat="1" applyFont="1" applyFill="1" applyBorder="1" applyAlignment="1"/>
    <xf numFmtId="164" fontId="7" fillId="5" borderId="11" xfId="0" applyNumberFormat="1" applyFont="1" applyFill="1" applyBorder="1" applyAlignment="1">
      <alignment horizontal="right"/>
    </xf>
    <xf numFmtId="165" fontId="7" fillId="5" borderId="19" xfId="0" applyNumberFormat="1" applyFont="1" applyFill="1" applyBorder="1" applyAlignment="1">
      <alignment horizontal="left"/>
    </xf>
    <xf numFmtId="165" fontId="7" fillId="5" borderId="20" xfId="0" applyNumberFormat="1" applyFont="1" applyFill="1" applyBorder="1" applyAlignment="1">
      <alignment horizontal="right"/>
    </xf>
    <xf numFmtId="165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0" fontId="8" fillId="0" borderId="0" xfId="0" applyFont="1">
      <alignment vertical="top"/>
    </xf>
    <xf numFmtId="165" fontId="15" fillId="6" borderId="17" xfId="0" applyNumberFormat="1" applyFont="1" applyFill="1" applyBorder="1" applyAlignment="1">
      <alignment horizontal="left" vertical="center"/>
    </xf>
    <xf numFmtId="2" fontId="16" fillId="6" borderId="6" xfId="1" applyNumberFormat="1" applyFont="1" applyFill="1" applyBorder="1" applyAlignment="1"/>
    <xf numFmtId="165" fontId="0" fillId="6" borderId="6" xfId="0" applyNumberFormat="1" applyFill="1" applyBorder="1" applyAlignment="1">
      <alignment horizontal="right"/>
    </xf>
    <xf numFmtId="165" fontId="14" fillId="6" borderId="7" xfId="0" applyNumberFormat="1" applyFont="1" applyFill="1" applyBorder="1" applyAlignment="1">
      <alignment horizontal="right" vertical="center"/>
    </xf>
    <xf numFmtId="165" fontId="15" fillId="6" borderId="18" xfId="0" applyNumberFormat="1" applyFont="1" applyFill="1" applyBorder="1" applyAlignment="1">
      <alignment horizontal="left" vertical="center"/>
    </xf>
    <xf numFmtId="165" fontId="16" fillId="6" borderId="8" xfId="1" applyNumberFormat="1" applyFont="1" applyFill="1" applyBorder="1" applyAlignment="1"/>
    <xf numFmtId="165" fontId="0" fillId="6" borderId="8" xfId="0" applyNumberFormat="1" applyFill="1" applyBorder="1" applyAlignment="1">
      <alignment horizontal="right"/>
    </xf>
    <xf numFmtId="165" fontId="13" fillId="6" borderId="16" xfId="0" applyNumberFormat="1" applyFont="1" applyFill="1" applyBorder="1" applyAlignment="1">
      <alignment horizontal="right" vertical="center"/>
    </xf>
    <xf numFmtId="0" fontId="2" fillId="0" borderId="2" xfId="0" applyFont="1" applyBorder="1">
      <alignment vertical="top"/>
    </xf>
    <xf numFmtId="0" fontId="3" fillId="0" borderId="17" xfId="0" applyFont="1" applyBorder="1">
      <alignment vertical="top"/>
    </xf>
    <xf numFmtId="165" fontId="19" fillId="0" borderId="6" xfId="0" applyNumberFormat="1" applyFont="1" applyBorder="1" applyAlignment="1">
      <alignment horizontal="left" vertical="center"/>
    </xf>
    <xf numFmtId="2" fontId="14" fillId="0" borderId="7" xfId="0" applyNumberFormat="1" applyFont="1" applyBorder="1" applyAlignment="1">
      <alignment horizontal="right" vertical="center"/>
    </xf>
    <xf numFmtId="0" fontId="3" fillId="0" borderId="3" xfId="0" applyFont="1" applyBorder="1">
      <alignment vertical="top"/>
    </xf>
    <xf numFmtId="2" fontId="14" fillId="0" borderId="15" xfId="0" applyNumberFormat="1" applyFont="1" applyBorder="1" applyAlignment="1">
      <alignment horizontal="right" vertical="center"/>
    </xf>
    <xf numFmtId="165" fontId="19" fillId="0" borderId="3" xfId="0" applyNumberFormat="1" applyFont="1" applyBorder="1" applyAlignment="1">
      <alignment horizontal="left" vertical="center"/>
    </xf>
    <xf numFmtId="2" fontId="0" fillId="0" borderId="6" xfId="0" applyNumberFormat="1" applyBorder="1" applyAlignment="1">
      <alignment horizontal="right"/>
    </xf>
    <xf numFmtId="2" fontId="2" fillId="6" borderId="6" xfId="0" applyNumberFormat="1" applyFont="1" applyFill="1" applyBorder="1" applyAlignment="1"/>
    <xf numFmtId="2" fontId="2" fillId="6" borderId="8" xfId="0" applyNumberFormat="1" applyFont="1" applyFill="1" applyBorder="1" applyAlignment="1"/>
    <xf numFmtId="0" fontId="2" fillId="6" borderId="0" xfId="0" applyFont="1" applyFill="1">
      <alignment vertical="top"/>
    </xf>
    <xf numFmtId="0" fontId="0" fillId="6" borderId="0" xfId="0" applyFill="1">
      <alignment vertical="top"/>
    </xf>
    <xf numFmtId="164" fontId="7" fillId="7" borderId="11" xfId="0" applyNumberFormat="1" applyFont="1" applyFill="1" applyBorder="1" applyAlignment="1">
      <alignment horizontal="right"/>
    </xf>
    <xf numFmtId="165" fontId="7" fillId="7" borderId="19" xfId="0" applyNumberFormat="1" applyFont="1" applyFill="1" applyBorder="1" applyAlignment="1">
      <alignment horizontal="left"/>
    </xf>
    <xf numFmtId="2" fontId="15" fillId="7" borderId="19" xfId="0" applyNumberFormat="1" applyFont="1" applyFill="1" applyBorder="1" applyAlignment="1">
      <alignment vertical="center"/>
    </xf>
    <xf numFmtId="2" fontId="16" fillId="7" borderId="19" xfId="1" applyNumberFormat="1" applyFont="1" applyFill="1" applyBorder="1" applyAlignment="1"/>
    <xf numFmtId="165" fontId="16" fillId="7" borderId="19" xfId="1" applyNumberFormat="1" applyFont="1" applyFill="1" applyBorder="1" applyAlignment="1"/>
    <xf numFmtId="165" fontId="7" fillId="7" borderId="20" xfId="0" applyNumberFormat="1" applyFont="1" applyFill="1" applyBorder="1" applyAlignment="1">
      <alignment horizontal="right"/>
    </xf>
    <xf numFmtId="165" fontId="15" fillId="4" borderId="17" xfId="0" applyNumberFormat="1" applyFont="1" applyFill="1" applyBorder="1" applyAlignment="1">
      <alignment horizontal="left" vertical="center"/>
    </xf>
    <xf numFmtId="2" fontId="2" fillId="4" borderId="6" xfId="0" applyNumberFormat="1" applyFont="1" applyFill="1" applyBorder="1" applyAlignment="1"/>
    <xf numFmtId="2" fontId="16" fillId="4" borderId="6" xfId="1" applyNumberFormat="1" applyFont="1" applyFill="1" applyBorder="1" applyAlignment="1"/>
    <xf numFmtId="165" fontId="0" fillId="4" borderId="6" xfId="0" applyNumberFormat="1" applyFill="1" applyBorder="1" applyAlignment="1">
      <alignment horizontal="right"/>
    </xf>
    <xf numFmtId="165" fontId="14" fillId="4" borderId="7" xfId="0" applyNumberFormat="1" applyFont="1" applyFill="1" applyBorder="1" applyAlignment="1">
      <alignment horizontal="right" vertical="center"/>
    </xf>
    <xf numFmtId="165" fontId="15" fillId="4" borderId="18" xfId="0" applyNumberFormat="1" applyFont="1" applyFill="1" applyBorder="1" applyAlignment="1">
      <alignment horizontal="left" vertical="center"/>
    </xf>
    <xf numFmtId="2" fontId="2" fillId="4" borderId="8" xfId="0" applyNumberFormat="1" applyFont="1" applyFill="1" applyBorder="1" applyAlignment="1"/>
    <xf numFmtId="165" fontId="16" fillId="4" borderId="8" xfId="1" applyNumberFormat="1" applyFont="1" applyFill="1" applyBorder="1" applyAlignment="1"/>
    <xf numFmtId="165" fontId="0" fillId="4" borderId="8" xfId="0" applyNumberFormat="1" applyFill="1" applyBorder="1" applyAlignment="1">
      <alignment horizontal="right"/>
    </xf>
    <xf numFmtId="165" fontId="13" fillId="4" borderId="16" xfId="0" applyNumberFormat="1" applyFont="1" applyFill="1" applyBorder="1" applyAlignment="1">
      <alignment horizontal="right" vertical="center"/>
    </xf>
    <xf numFmtId="1" fontId="14" fillId="3" borderId="19" xfId="0" applyNumberFormat="1" applyFont="1" applyFill="1" applyBorder="1" applyAlignment="1">
      <alignment horizontal="center" vertical="center" wrapText="1"/>
    </xf>
    <xf numFmtId="2" fontId="15" fillId="3" borderId="21" xfId="0" applyNumberFormat="1" applyFont="1" applyFill="1" applyBorder="1" applyAlignment="1">
      <alignment vertical="center" wrapText="1"/>
    </xf>
    <xf numFmtId="2" fontId="15" fillId="3" borderId="22" xfId="0" applyNumberFormat="1" applyFont="1" applyFill="1" applyBorder="1" applyAlignment="1">
      <alignment horizontal="right" vertical="center"/>
    </xf>
    <xf numFmtId="2" fontId="16" fillId="6" borderId="8" xfId="1" applyNumberFormat="1" applyFont="1" applyFill="1" applyBorder="1" applyAlignment="1"/>
    <xf numFmtId="0" fontId="9" fillId="2" borderId="2" xfId="0" quotePrefix="1" applyFont="1" applyFill="1" applyBorder="1" applyAlignment="1">
      <alignment horizontal="center" vertical="top"/>
    </xf>
    <xf numFmtId="0" fontId="10" fillId="0" borderId="0" xfId="0" applyFont="1">
      <alignment vertical="top"/>
    </xf>
    <xf numFmtId="165" fontId="20" fillId="3" borderId="23" xfId="0" applyNumberFormat="1" applyFont="1" applyFill="1" applyBorder="1" applyAlignment="1">
      <alignment horizontal="left" vertical="center"/>
    </xf>
    <xf numFmtId="165" fontId="2" fillId="3" borderId="21" xfId="0" applyNumberFormat="1" applyFont="1" applyFill="1" applyBorder="1" applyAlignment="1">
      <alignment horizontal="right"/>
    </xf>
    <xf numFmtId="165" fontId="19" fillId="0" borderId="18" xfId="0" applyNumberFormat="1" applyFont="1" applyBorder="1" applyAlignment="1">
      <alignment horizontal="left" vertical="center"/>
    </xf>
    <xf numFmtId="165" fontId="19" fillId="0" borderId="8" xfId="0" applyNumberFormat="1" applyFont="1" applyBorder="1" applyAlignment="1">
      <alignment horizontal="left" vertical="center"/>
    </xf>
    <xf numFmtId="2" fontId="14" fillId="0" borderId="16" xfId="0" applyNumberFormat="1" applyFont="1" applyBorder="1" applyAlignment="1">
      <alignment horizontal="right" vertical="center"/>
    </xf>
    <xf numFmtId="165" fontId="0" fillId="0" borderId="24" xfId="0" applyNumberFormat="1" applyBorder="1" applyAlignment="1">
      <alignment horizontal="right"/>
    </xf>
    <xf numFmtId="165" fontId="0" fillId="0" borderId="25" xfId="0" applyNumberFormat="1" applyBorder="1" applyAlignment="1">
      <alignment horizontal="right"/>
    </xf>
    <xf numFmtId="165" fontId="0" fillId="0" borderId="26" xfId="0" applyNumberFormat="1" applyBorder="1" applyAlignment="1">
      <alignment horizontal="right"/>
    </xf>
    <xf numFmtId="165" fontId="0" fillId="0" borderId="27" xfId="0" applyNumberFormat="1" applyBorder="1" applyAlignment="1">
      <alignment horizontal="right"/>
    </xf>
    <xf numFmtId="165" fontId="0" fillId="0" borderId="28" xfId="0" applyNumberFormat="1" applyBorder="1" applyAlignment="1">
      <alignment horizontal="right"/>
    </xf>
    <xf numFmtId="165" fontId="2" fillId="3" borderId="30" xfId="0" applyNumberFormat="1" applyFont="1" applyFill="1" applyBorder="1" applyAlignment="1">
      <alignment horizontal="left"/>
    </xf>
    <xf numFmtId="10" fontId="2" fillId="3" borderId="13" xfId="2" applyNumberFormat="1" applyFont="1" applyFill="1" applyBorder="1" applyAlignment="1">
      <alignment horizontal="right"/>
    </xf>
    <xf numFmtId="1" fontId="14" fillId="7" borderId="19" xfId="0" applyNumberFormat="1" applyFont="1" applyFill="1" applyBorder="1" applyAlignment="1">
      <alignment horizontal="center" vertical="center" wrapText="1"/>
    </xf>
    <xf numFmtId="165" fontId="20" fillId="7" borderId="23" xfId="0" applyNumberFormat="1" applyFont="1" applyFill="1" applyBorder="1" applyAlignment="1">
      <alignment horizontal="left" vertical="center"/>
    </xf>
    <xf numFmtId="165" fontId="2" fillId="7" borderId="21" xfId="0" applyNumberFormat="1" applyFont="1" applyFill="1" applyBorder="1" applyAlignment="1">
      <alignment horizontal="right"/>
    </xf>
    <xf numFmtId="2" fontId="15" fillId="7" borderId="21" xfId="0" applyNumberFormat="1" applyFont="1" applyFill="1" applyBorder="1" applyAlignment="1">
      <alignment vertical="center" wrapText="1"/>
    </xf>
    <xf numFmtId="2" fontId="15" fillId="7" borderId="22" xfId="0" applyNumberFormat="1" applyFont="1" applyFill="1" applyBorder="1" applyAlignment="1">
      <alignment horizontal="right" vertical="center"/>
    </xf>
    <xf numFmtId="0" fontId="14" fillId="3" borderId="32" xfId="0" applyFont="1" applyFill="1" applyBorder="1" applyAlignment="1">
      <alignment horizontal="left" vertical="center" wrapText="1"/>
    </xf>
    <xf numFmtId="2" fontId="14" fillId="3" borderId="19" xfId="0" applyNumberFormat="1" applyFont="1" applyFill="1" applyBorder="1" applyAlignment="1">
      <alignment horizontal="center" vertical="center" wrapText="1"/>
    </xf>
    <xf numFmtId="0" fontId="14" fillId="3" borderId="32" xfId="0" applyFont="1" applyFill="1" applyBorder="1" applyAlignment="1">
      <alignment horizontal="center" vertical="center" wrapText="1"/>
    </xf>
    <xf numFmtId="0" fontId="14" fillId="3" borderId="19" xfId="0" applyFont="1" applyFill="1" applyBorder="1" applyAlignment="1">
      <alignment horizontal="center" vertical="center" wrapText="1"/>
    </xf>
    <xf numFmtId="165" fontId="14" fillId="3" borderId="33" xfId="0" applyNumberFormat="1" applyFont="1" applyFill="1" applyBorder="1" applyAlignment="1">
      <alignment horizontal="center" vertical="center" wrapText="1"/>
    </xf>
    <xf numFmtId="2" fontId="14" fillId="7" borderId="19" xfId="0" applyNumberFormat="1" applyFont="1" applyFill="1" applyBorder="1" applyAlignment="1">
      <alignment horizontal="center" vertical="center" wrapText="1"/>
    </xf>
    <xf numFmtId="0" fontId="14" fillId="7" borderId="32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165" fontId="14" fillId="7" borderId="33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15" fillId="0" borderId="2" xfId="0" applyFont="1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 wrapText="1"/>
    </xf>
    <xf numFmtId="43" fontId="25" fillId="8" borderId="38" xfId="1" applyFont="1" applyFill="1" applyBorder="1" applyAlignment="1">
      <alignment horizontal="center"/>
    </xf>
    <xf numFmtId="0" fontId="24" fillId="8" borderId="15" xfId="0" applyFont="1" applyFill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1" fillId="8" borderId="2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0" fillId="0" borderId="0" xfId="0" applyBorder="1" applyAlignment="1"/>
    <xf numFmtId="0" fontId="21" fillId="0" borderId="0" xfId="0" applyFont="1" applyBorder="1" applyAlignment="1">
      <alignment vertical="center"/>
    </xf>
    <xf numFmtId="2" fontId="14" fillId="0" borderId="2" xfId="0" applyNumberFormat="1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8" borderId="45" xfId="0" applyFont="1" applyFill="1" applyBorder="1" applyAlignment="1">
      <alignment horizontal="center" vertical="center" wrapText="1"/>
    </xf>
    <xf numFmtId="0" fontId="14" fillId="8" borderId="45" xfId="0" applyFont="1" applyFill="1" applyBorder="1" applyAlignment="1">
      <alignment horizontal="center" vertical="center"/>
    </xf>
    <xf numFmtId="43" fontId="25" fillId="8" borderId="4" xfId="1" applyFont="1" applyFill="1" applyBorder="1" applyAlignment="1">
      <alignment horizontal="center"/>
    </xf>
    <xf numFmtId="0" fontId="24" fillId="8" borderId="46" xfId="0" applyFont="1" applyFill="1" applyBorder="1" applyAlignment="1">
      <alignment horizontal="center" vertical="center"/>
    </xf>
    <xf numFmtId="43" fontId="30" fillId="3" borderId="31" xfId="1" applyFont="1" applyFill="1" applyBorder="1" applyAlignment="1">
      <alignment horizontal="center"/>
    </xf>
    <xf numFmtId="0" fontId="20" fillId="3" borderId="30" xfId="0" applyFont="1" applyFill="1" applyBorder="1" applyAlignment="1">
      <alignment horizontal="center"/>
    </xf>
    <xf numFmtId="0" fontId="29" fillId="3" borderId="48" xfId="0" applyFont="1" applyFill="1" applyBorder="1" applyAlignment="1">
      <alignment horizontal="center"/>
    </xf>
    <xf numFmtId="0" fontId="20" fillId="3" borderId="49" xfId="0" applyFont="1" applyFill="1" applyBorder="1" applyAlignment="1">
      <alignment horizontal="center"/>
    </xf>
    <xf numFmtId="0" fontId="20" fillId="3" borderId="49" xfId="0" applyFont="1" applyFill="1" applyBorder="1" applyAlignment="1">
      <alignment horizontal="center" wrapText="1"/>
    </xf>
    <xf numFmtId="0" fontId="31" fillId="3" borderId="50" xfId="0" applyFont="1" applyFill="1" applyBorder="1" applyAlignment="1">
      <alignment horizontal="center"/>
    </xf>
    <xf numFmtId="0" fontId="14" fillId="0" borderId="29" xfId="0" applyFont="1" applyBorder="1" applyAlignment="1">
      <alignment horizontal="center" vertical="center" wrapText="1"/>
    </xf>
    <xf numFmtId="2" fontId="14" fillId="0" borderId="29" xfId="0" applyNumberFormat="1" applyFont="1" applyBorder="1" applyAlignment="1">
      <alignment horizontal="center" vertical="center" wrapText="1"/>
    </xf>
    <xf numFmtId="0" fontId="24" fillId="0" borderId="47" xfId="0" applyFont="1" applyBorder="1" applyAlignment="1">
      <alignment horizontal="center" vertical="center"/>
    </xf>
    <xf numFmtId="0" fontId="14" fillId="3" borderId="49" xfId="0" applyFont="1" applyFill="1" applyBorder="1" applyAlignment="1">
      <alignment horizontal="center" vertical="center" wrapText="1"/>
    </xf>
    <xf numFmtId="1" fontId="14" fillId="3" borderId="49" xfId="0" applyNumberFormat="1" applyFont="1" applyFill="1" applyBorder="1" applyAlignment="1">
      <alignment horizontal="center" vertical="center" wrapText="1"/>
    </xf>
    <xf numFmtId="2" fontId="14" fillId="3" borderId="49" xfId="0" applyNumberFormat="1" applyFont="1" applyFill="1" applyBorder="1" applyAlignment="1">
      <alignment horizontal="center" vertical="center" wrapText="1"/>
    </xf>
    <xf numFmtId="0" fontId="14" fillId="3" borderId="30" xfId="0" applyFont="1" applyFill="1" applyBorder="1" applyAlignment="1">
      <alignment horizontal="center" vertical="center"/>
    </xf>
    <xf numFmtId="0" fontId="14" fillId="3" borderId="49" xfId="0" applyFont="1" applyFill="1" applyBorder="1" applyAlignment="1">
      <alignment horizontal="center" vertical="center"/>
    </xf>
    <xf numFmtId="0" fontId="24" fillId="3" borderId="5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9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15" fillId="0" borderId="3" xfId="0" applyFont="1" applyBorder="1" applyAlignment="1">
      <alignment horizontal="left" vertical="center"/>
    </xf>
    <xf numFmtId="14" fontId="19" fillId="0" borderId="15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0" fillId="0" borderId="51" xfId="0" applyBorder="1">
      <alignment vertical="top"/>
    </xf>
    <xf numFmtId="14" fontId="19" fillId="0" borderId="15" xfId="0" applyNumberFormat="1" applyFont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top"/>
    </xf>
    <xf numFmtId="0" fontId="2" fillId="0" borderId="17" xfId="0" applyFont="1" applyBorder="1">
      <alignment vertical="top"/>
    </xf>
    <xf numFmtId="0" fontId="2" fillId="0" borderId="6" xfId="0" applyFont="1" applyBorder="1" applyAlignment="1">
      <alignment horizontal="center" vertical="top"/>
    </xf>
    <xf numFmtId="165" fontId="0" fillId="0" borderId="3" xfId="0" applyNumberFormat="1" applyBorder="1" applyAlignment="1">
      <alignment horizontal="left"/>
    </xf>
    <xf numFmtId="0" fontId="0" fillId="0" borderId="15" xfId="0" applyBorder="1">
      <alignment vertical="top"/>
    </xf>
    <xf numFmtId="0" fontId="0" fillId="0" borderId="34" xfId="0" applyBorder="1">
      <alignment vertical="top"/>
    </xf>
    <xf numFmtId="0" fontId="2" fillId="0" borderId="7" xfId="0" quotePrefix="1" applyFont="1" applyBorder="1" applyAlignment="1">
      <alignment horizontal="center" vertical="top"/>
    </xf>
    <xf numFmtId="0" fontId="2" fillId="0" borderId="52" xfId="0" applyFont="1" applyBorder="1" applyAlignment="1">
      <alignment horizontal="center" vertical="top"/>
    </xf>
    <xf numFmtId="0" fontId="2" fillId="0" borderId="52" xfId="0" quotePrefix="1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0" fillId="0" borderId="15" xfId="0" quotePrefix="1" applyBorder="1">
      <alignment vertical="top"/>
    </xf>
    <xf numFmtId="165" fontId="0" fillId="0" borderId="1" xfId="0" applyNumberFormat="1" applyBorder="1" applyAlignment="1">
      <alignment horizontal="left"/>
    </xf>
    <xf numFmtId="0" fontId="0" fillId="0" borderId="29" xfId="0" quotePrefix="1" applyBorder="1" applyAlignment="1">
      <alignment horizontal="center" vertical="top"/>
    </xf>
    <xf numFmtId="0" fontId="0" fillId="0" borderId="47" xfId="0" quotePrefix="1" applyBorder="1" applyAlignment="1">
      <alignment horizontal="center" vertical="top"/>
    </xf>
    <xf numFmtId="0" fontId="0" fillId="0" borderId="38" xfId="0" applyBorder="1" applyAlignment="1">
      <alignment horizontal="center" vertical="top"/>
    </xf>
    <xf numFmtId="0" fontId="0" fillId="0" borderId="47" xfId="0" applyBorder="1" applyAlignment="1">
      <alignment horizontal="center" vertical="top"/>
    </xf>
    <xf numFmtId="0" fontId="2" fillId="0" borderId="18" xfId="0" applyFont="1" applyBorder="1">
      <alignment vertical="top"/>
    </xf>
    <xf numFmtId="0" fontId="2" fillId="0" borderId="8" xfId="0" applyFont="1" applyBorder="1" applyAlignment="1">
      <alignment horizontal="center" vertical="top"/>
    </xf>
    <xf numFmtId="0" fontId="2" fillId="0" borderId="16" xfId="0" applyFont="1" applyBorder="1" applyAlignment="1">
      <alignment horizontal="center" vertical="top"/>
    </xf>
    <xf numFmtId="0" fontId="2" fillId="0" borderId="53" xfId="0" applyFont="1" applyBorder="1" applyAlignment="1">
      <alignment horizontal="center" vertical="top"/>
    </xf>
    <xf numFmtId="0" fontId="0" fillId="0" borderId="54" xfId="0" applyBorder="1">
      <alignment vertical="top"/>
    </xf>
    <xf numFmtId="0" fontId="0" fillId="0" borderId="45" xfId="0" applyBorder="1">
      <alignment vertical="top"/>
    </xf>
    <xf numFmtId="0" fontId="0" fillId="0" borderId="46" xfId="0" applyBorder="1">
      <alignment vertical="top"/>
    </xf>
    <xf numFmtId="0" fontId="0" fillId="0" borderId="55" xfId="0" applyBorder="1">
      <alignment vertical="top"/>
    </xf>
    <xf numFmtId="0" fontId="2" fillId="6" borderId="30" xfId="0" applyFont="1" applyFill="1" applyBorder="1" applyAlignment="1">
      <alignment horizontal="center" vertical="top"/>
    </xf>
    <xf numFmtId="0" fontId="2" fillId="6" borderId="49" xfId="0" applyFont="1" applyFill="1" applyBorder="1" applyAlignment="1">
      <alignment horizontal="center" vertical="top"/>
    </xf>
    <xf numFmtId="0" fontId="2" fillId="6" borderId="50" xfId="0" applyFont="1" applyFill="1" applyBorder="1" applyAlignment="1">
      <alignment horizontal="center" vertical="top"/>
    </xf>
    <xf numFmtId="0" fontId="2" fillId="6" borderId="31" xfId="0" applyFont="1" applyFill="1" applyBorder="1" applyAlignment="1">
      <alignment horizontal="center" vertical="top"/>
    </xf>
    <xf numFmtId="0" fontId="14" fillId="0" borderId="37" xfId="0" applyFont="1" applyBorder="1" applyAlignment="1">
      <alignment horizontal="left" vertical="center"/>
    </xf>
    <xf numFmtId="4" fontId="0" fillId="0" borderId="0" xfId="0" applyNumberFormat="1">
      <alignment vertical="top"/>
    </xf>
    <xf numFmtId="165" fontId="3" fillId="0" borderId="0" xfId="0" applyNumberFormat="1" applyFont="1" applyAlignment="1">
      <alignment horizontal="right"/>
    </xf>
    <xf numFmtId="2" fontId="0" fillId="0" borderId="4" xfId="0" applyNumberFormat="1" applyBorder="1" applyAlignment="1">
      <alignment horizontal="right"/>
    </xf>
    <xf numFmtId="2" fontId="2" fillId="3" borderId="31" xfId="0" applyNumberFormat="1" applyFont="1" applyFill="1" applyBorder="1" applyAlignment="1">
      <alignment horizontal="right"/>
    </xf>
    <xf numFmtId="165" fontId="0" fillId="0" borderId="35" xfId="0" applyNumberFormat="1" applyBorder="1" applyAlignment="1">
      <alignment horizontal="right"/>
    </xf>
    <xf numFmtId="165" fontId="0" fillId="0" borderId="36" xfId="0" applyNumberFormat="1" applyBorder="1" applyAlignment="1">
      <alignment horizontal="right"/>
    </xf>
    <xf numFmtId="165" fontId="18" fillId="0" borderId="6" xfId="0" applyNumberFormat="1" applyFont="1" applyBorder="1" applyAlignment="1">
      <alignment horizontal="left"/>
    </xf>
    <xf numFmtId="165" fontId="4" fillId="0" borderId="6" xfId="0" applyNumberFormat="1" applyFont="1" applyBorder="1" applyAlignment="1">
      <alignment horizontal="right"/>
    </xf>
    <xf numFmtId="9" fontId="0" fillId="0" borderId="20" xfId="2" applyFont="1" applyBorder="1" applyAlignment="1">
      <alignment horizontal="right"/>
    </xf>
    <xf numFmtId="165" fontId="18" fillId="0" borderId="8" xfId="0" applyNumberFormat="1" applyFont="1" applyBorder="1" applyAlignment="1">
      <alignment horizontal="left"/>
    </xf>
    <xf numFmtId="165" fontId="4" fillId="0" borderId="8" xfId="0" applyNumberFormat="1" applyFont="1" applyBorder="1" applyAlignment="1">
      <alignment horizontal="right"/>
    </xf>
    <xf numFmtId="165" fontId="0" fillId="0" borderId="44" xfId="0" applyNumberFormat="1" applyBorder="1" applyAlignment="1">
      <alignment horizontal="left"/>
    </xf>
    <xf numFmtId="10" fontId="0" fillId="0" borderId="25" xfId="2" applyNumberFormat="1" applyFont="1" applyBorder="1" applyAlignment="1">
      <alignment horizontal="right"/>
    </xf>
    <xf numFmtId="2" fontId="0" fillId="0" borderId="56" xfId="0" applyNumberFormat="1" applyBorder="1" applyAlignment="1">
      <alignment horizontal="right"/>
    </xf>
    <xf numFmtId="165" fontId="2" fillId="3" borderId="30" xfId="0" applyNumberFormat="1" applyFont="1" applyFill="1" applyBorder="1" applyAlignment="1">
      <alignment horizontal="center" vertical="center" wrapText="1"/>
    </xf>
    <xf numFmtId="165" fontId="2" fillId="3" borderId="31" xfId="0" applyNumberFormat="1" applyFont="1" applyFill="1" applyBorder="1" applyAlignment="1">
      <alignment horizontal="center" vertical="center" wrapText="1"/>
    </xf>
    <xf numFmtId="165" fontId="2" fillId="3" borderId="13" xfId="0" applyNumberFormat="1" applyFont="1" applyFill="1" applyBorder="1" applyAlignment="1">
      <alignment horizontal="center" vertical="center" wrapText="1"/>
    </xf>
    <xf numFmtId="1" fontId="0" fillId="0" borderId="4" xfId="0" applyNumberFormat="1" applyBorder="1" applyAlignment="1">
      <alignment horizontal="right"/>
    </xf>
    <xf numFmtId="1" fontId="0" fillId="0" borderId="56" xfId="0" applyNumberFormat="1" applyBorder="1" applyAlignment="1">
      <alignment horizontal="right"/>
    </xf>
    <xf numFmtId="1" fontId="2" fillId="3" borderId="31" xfId="0" applyNumberFormat="1" applyFont="1" applyFill="1" applyBorder="1" applyAlignment="1">
      <alignment horizontal="right"/>
    </xf>
    <xf numFmtId="1" fontId="0" fillId="0" borderId="36" xfId="0" applyNumberFormat="1" applyBorder="1" applyAlignment="1">
      <alignment horizontal="right"/>
    </xf>
    <xf numFmtId="165" fontId="3" fillId="0" borderId="2" xfId="0" applyNumberFormat="1" applyFont="1" applyBorder="1" applyAlignment="1">
      <alignment horizontal="left"/>
    </xf>
    <xf numFmtId="0" fontId="2" fillId="6" borderId="44" xfId="0" applyFont="1" applyFill="1" applyBorder="1" applyAlignment="1">
      <alignment horizontal="center" vertical="top"/>
    </xf>
    <xf numFmtId="0" fontId="2" fillId="6" borderId="57" xfId="0" applyFont="1" applyFill="1" applyBorder="1" applyAlignment="1">
      <alignment horizontal="center" vertical="top"/>
    </xf>
    <xf numFmtId="0" fontId="9" fillId="0" borderId="34" xfId="0" quotePrefix="1" applyFont="1" applyFill="1" applyBorder="1" applyAlignment="1">
      <alignment horizontal="center" vertical="top"/>
    </xf>
    <xf numFmtId="165" fontId="0" fillId="0" borderId="45" xfId="0" applyNumberFormat="1" applyBorder="1" applyAlignment="1">
      <alignment horizontal="left"/>
    </xf>
    <xf numFmtId="0" fontId="2" fillId="3" borderId="2" xfId="0" applyFont="1" applyFill="1" applyBorder="1">
      <alignment vertical="top"/>
    </xf>
    <xf numFmtId="0" fontId="2" fillId="3" borderId="2" xfId="0" applyFont="1" applyFill="1" applyBorder="1" applyAlignment="1">
      <alignment horizontal="center" vertical="top"/>
    </xf>
    <xf numFmtId="0" fontId="2" fillId="3" borderId="30" xfId="0" applyFont="1" applyFill="1" applyBorder="1" applyAlignment="1">
      <alignment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50" xfId="0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 vertical="top"/>
    </xf>
    <xf numFmtId="2" fontId="14" fillId="0" borderId="2" xfId="0" applyNumberFormat="1" applyFont="1" applyBorder="1" applyAlignment="1">
      <alignment horizontal="right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8" xfId="0" applyNumberFormat="1" applyFont="1" applyBorder="1" applyAlignment="1">
      <alignment horizontal="right" vertical="center"/>
    </xf>
    <xf numFmtId="0" fontId="2" fillId="0" borderId="32" xfId="0" applyFont="1" applyBorder="1" applyAlignment="1">
      <alignment horizontal="center" vertical="top"/>
    </xf>
    <xf numFmtId="0" fontId="2" fillId="0" borderId="19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2" fillId="2" borderId="0" xfId="0" applyFont="1" applyFill="1">
      <alignment vertical="top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top"/>
    </xf>
    <xf numFmtId="0" fontId="2" fillId="3" borderId="10" xfId="0" applyFont="1" applyFill="1" applyBorder="1" applyAlignment="1">
      <alignment horizontal="left" vertical="top"/>
    </xf>
    <xf numFmtId="165" fontId="6" fillId="0" borderId="11" xfId="0" applyNumberFormat="1" applyFont="1" applyBorder="1" applyAlignment="1">
      <alignment horizontal="center"/>
    </xf>
    <xf numFmtId="165" fontId="6" fillId="0" borderId="12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0" fontId="2" fillId="0" borderId="52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6" borderId="11" xfId="0" applyFont="1" applyFill="1" applyBorder="1" applyAlignment="1">
      <alignment horizontal="center" vertical="top"/>
    </xf>
    <xf numFmtId="0" fontId="2" fillId="6" borderId="13" xfId="0" applyFont="1" applyFill="1" applyBorder="1" applyAlignment="1">
      <alignment horizontal="center" vertical="top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15" fillId="0" borderId="2" xfId="0" applyFont="1" applyBorder="1" applyAlignment="1"/>
    <xf numFmtId="0" fontId="15" fillId="0" borderId="15" xfId="0" applyFont="1" applyBorder="1" applyAlignment="1"/>
    <xf numFmtId="0" fontId="15" fillId="0" borderId="2" xfId="0" applyFont="1" applyBorder="1" applyAlignment="1">
      <alignment vertical="center"/>
    </xf>
    <xf numFmtId="0" fontId="15" fillId="0" borderId="15" xfId="0" applyFont="1" applyBorder="1" applyAlignment="1">
      <alignment vertical="center"/>
    </xf>
    <xf numFmtId="0" fontId="15" fillId="0" borderId="9" xfId="0" applyFont="1" applyBorder="1" applyAlignment="1">
      <alignment horizontal="left" vertical="top"/>
    </xf>
    <xf numFmtId="0" fontId="15" fillId="0" borderId="25" xfId="0" applyFont="1" applyBorder="1" applyAlignment="1">
      <alignment horizontal="left" vertical="top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0" fillId="0" borderId="2" xfId="0" applyFont="1" applyBorder="1" applyAlignment="1"/>
    <xf numFmtId="0" fontId="26" fillId="0" borderId="1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47" xfId="0" applyFont="1" applyBorder="1" applyAlignment="1">
      <alignment horizontal="center" vertical="center"/>
    </xf>
    <xf numFmtId="0" fontId="0" fillId="0" borderId="2" xfId="0" applyBorder="1" applyAlignment="1"/>
    <xf numFmtId="0" fontId="15" fillId="0" borderId="9" xfId="0" applyFont="1" applyBorder="1" applyAlignment="1">
      <alignment vertical="top"/>
    </xf>
    <xf numFmtId="0" fontId="15" fillId="0" borderId="25" xfId="0" applyFont="1" applyBorder="1" applyAlignment="1">
      <alignment vertical="top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0</xdr:row>
          <xdr:rowOff>0</xdr:rowOff>
        </xdr:from>
        <xdr:to>
          <xdr:col>22</xdr:col>
          <xdr:colOff>47625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me to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the Factory Pending and Repairind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12</xdr:col>
          <xdr:colOff>600075</xdr:colOff>
          <xdr:row>3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/>
  </sheetPr>
  <dimension ref="A1:AL71"/>
  <sheetViews>
    <sheetView tabSelected="1" topLeftCell="A16" zoomScale="90" zoomScaleNormal="90" workbookViewId="0">
      <selection activeCell="L30" sqref="L30"/>
    </sheetView>
  </sheetViews>
  <sheetFormatPr defaultColWidth="6.85546875" defaultRowHeight="12.75" customHeight="1"/>
  <cols>
    <col min="1" max="1" width="21.42578125" style="145" bestFit="1" customWidth="1"/>
    <col min="2" max="2" width="9.5703125" style="265" bestFit="1" customWidth="1"/>
    <col min="3" max="3" width="7.140625" style="265" bestFit="1" customWidth="1"/>
    <col min="4" max="4" width="13.42578125" style="265" bestFit="1" customWidth="1"/>
    <col min="5" max="5" width="7.85546875" style="265" bestFit="1" customWidth="1"/>
    <col min="6" max="6" width="13.42578125" style="265" bestFit="1" customWidth="1"/>
    <col min="7" max="7" width="12.85546875" style="145" bestFit="1" customWidth="1"/>
    <col min="8" max="8" width="14.28515625" style="145" bestFit="1" customWidth="1"/>
    <col min="9" max="9" width="13.28515625" style="145" bestFit="1" customWidth="1"/>
    <col min="10" max="10" width="12.85546875" style="145" bestFit="1" customWidth="1"/>
    <col min="11" max="11" width="4.42578125" style="145" bestFit="1" customWidth="1"/>
    <col min="12" max="12" width="5.5703125" style="145" bestFit="1" customWidth="1"/>
    <col min="13" max="13" width="7.140625" style="145" bestFit="1" customWidth="1"/>
    <col min="14" max="14" width="6" style="145" bestFit="1" customWidth="1"/>
    <col min="15" max="15" width="14" style="145" bestFit="1" customWidth="1"/>
    <col min="16" max="16" width="16.28515625" style="145" bestFit="1" customWidth="1"/>
    <col min="17" max="17" width="15.85546875" style="145" bestFit="1" customWidth="1"/>
    <col min="18" max="18" width="5.5703125" style="145" bestFit="1" customWidth="1"/>
    <col min="19" max="19" width="7.140625" style="145" bestFit="1" customWidth="1"/>
    <col min="20" max="20" width="6" style="145" bestFit="1" customWidth="1"/>
    <col min="21" max="22" width="10.42578125" style="145" bestFit="1" customWidth="1"/>
    <col min="23" max="23" width="7.85546875" style="145" bestFit="1" customWidth="1"/>
    <col min="24" max="24" width="10.7109375" style="145" bestFit="1" customWidth="1"/>
    <col min="25" max="25" width="7.140625" style="145" bestFit="1" customWidth="1"/>
    <col min="26" max="26" width="4.85546875" style="145" bestFit="1" customWidth="1"/>
    <col min="27" max="28" width="6" style="145" bestFit="1" customWidth="1"/>
    <col min="29" max="29" width="10.5703125" style="145" bestFit="1" customWidth="1"/>
    <col min="30" max="30" width="8.85546875" style="145" bestFit="1" customWidth="1"/>
    <col min="31" max="31" width="13.42578125" style="145" bestFit="1" customWidth="1"/>
    <col min="32" max="32" width="3.28515625" style="145" bestFit="1" customWidth="1"/>
    <col min="33" max="34" width="2.140625" style="145" bestFit="1" customWidth="1"/>
    <col min="35" max="35" width="6.85546875" style="145"/>
    <col min="36" max="36" width="3.42578125" style="145" bestFit="1" customWidth="1"/>
    <col min="37" max="38" width="4.85546875" style="145" bestFit="1" customWidth="1"/>
    <col min="39" max="16384" width="6.85546875" style="145"/>
  </cols>
  <sheetData>
    <row r="1" spans="1:38" ht="12.75" customHeight="1">
      <c r="A1" t="s">
        <v>155</v>
      </c>
    </row>
    <row r="2" spans="1:38" ht="12.75" customHeight="1">
      <c r="A2" t="s">
        <v>0</v>
      </c>
      <c r="B2" s="21" t="s">
        <v>156</v>
      </c>
    </row>
    <row r="3" spans="1:38" ht="12.75" customHeight="1">
      <c r="A3" t="s">
        <v>1</v>
      </c>
      <c r="B3" s="21" t="s">
        <v>2</v>
      </c>
      <c r="C3" s="21" t="s">
        <v>3</v>
      </c>
      <c r="D3" s="21" t="s">
        <v>157</v>
      </c>
      <c r="E3" s="21" t="s">
        <v>158</v>
      </c>
      <c r="F3" s="23">
        <v>324.54000000000002</v>
      </c>
      <c r="G3" t="s">
        <v>4</v>
      </c>
      <c r="H3" t="s">
        <v>5</v>
      </c>
      <c r="I3" t="s">
        <v>6</v>
      </c>
      <c r="J3" t="s">
        <v>7</v>
      </c>
      <c r="K3" s="1">
        <v>732</v>
      </c>
      <c r="L3" s="1">
        <v>4638</v>
      </c>
      <c r="M3" s="2">
        <v>152.48099999999999</v>
      </c>
      <c r="N3" s="233">
        <v>47.135795828657798</v>
      </c>
      <c r="O3" t="s">
        <v>8</v>
      </c>
      <c r="P3" t="s">
        <v>9</v>
      </c>
      <c r="Q3" t="s">
        <v>10</v>
      </c>
      <c r="R3" s="1">
        <v>4613</v>
      </c>
      <c r="S3" s="2">
        <v>150.46100000000001</v>
      </c>
      <c r="T3" s="233">
        <v>46.511361915095499</v>
      </c>
      <c r="U3" t="s">
        <v>11</v>
      </c>
      <c r="V3" t="s">
        <v>12</v>
      </c>
      <c r="W3" t="s">
        <v>13</v>
      </c>
      <c r="X3" t="s">
        <v>14</v>
      </c>
      <c r="Y3" s="2">
        <v>170</v>
      </c>
      <c r="Z3" s="2">
        <v>8.1449999999999996</v>
      </c>
      <c r="AA3" s="2">
        <v>14.2599685310038</v>
      </c>
      <c r="AB3" s="2">
        <v>31.703143294605098</v>
      </c>
      <c r="AC3" t="s">
        <v>15</v>
      </c>
      <c r="AD3" t="s">
        <v>16</v>
      </c>
      <c r="AE3" t="s">
        <v>17</v>
      </c>
      <c r="AF3" t="s">
        <v>18</v>
      </c>
      <c r="AG3" s="1">
        <v>0</v>
      </c>
      <c r="AH3" s="1">
        <v>2</v>
      </c>
      <c r="AJ3" t="s">
        <v>19</v>
      </c>
      <c r="AK3" s="2">
        <v>0</v>
      </c>
      <c r="AL3" s="2">
        <v>0.73699999999999999</v>
      </c>
    </row>
    <row r="5" spans="1:38" ht="12.75" customHeight="1">
      <c r="A5" t="s">
        <v>20</v>
      </c>
      <c r="B5" s="21" t="s">
        <v>21</v>
      </c>
      <c r="C5" s="21" t="s">
        <v>18</v>
      </c>
      <c r="D5" s="21" t="s">
        <v>19</v>
      </c>
      <c r="E5" s="21" t="s">
        <v>22</v>
      </c>
      <c r="F5" s="21" t="s">
        <v>23</v>
      </c>
      <c r="G5" t="s">
        <v>24</v>
      </c>
    </row>
    <row r="6" spans="1:38" ht="12.75" customHeight="1">
      <c r="A6" t="s">
        <v>25</v>
      </c>
      <c r="B6" s="22">
        <v>4262</v>
      </c>
      <c r="C6" s="23">
        <v>283.48899999999998</v>
      </c>
      <c r="D6" s="23">
        <v>127.71299999999999</v>
      </c>
      <c r="E6" s="266">
        <v>45.604595246144598</v>
      </c>
      <c r="F6" s="23">
        <v>88.481283644753006</v>
      </c>
    </row>
    <row r="7" spans="1:38" ht="12.75" customHeight="1">
      <c r="A7" t="s">
        <v>26</v>
      </c>
      <c r="B7" s="22">
        <v>192</v>
      </c>
      <c r="C7" s="23">
        <v>27.574999999999999</v>
      </c>
      <c r="D7" s="23">
        <v>14.279</v>
      </c>
      <c r="E7" s="266">
        <v>45.604595246144598</v>
      </c>
      <c r="F7" s="23">
        <v>9.8926831971954901</v>
      </c>
    </row>
    <row r="8" spans="1:38" ht="12.75" customHeight="1">
      <c r="A8" t="s">
        <v>27</v>
      </c>
      <c r="B8" s="22">
        <v>122</v>
      </c>
      <c r="C8" s="23">
        <v>5.4370000000000003</v>
      </c>
      <c r="D8" s="23">
        <v>2.347</v>
      </c>
      <c r="E8" s="266">
        <v>45.604595246144598</v>
      </c>
      <c r="F8" s="23">
        <v>1.6260331580515299</v>
      </c>
    </row>
    <row r="9" spans="1:38" ht="12.75" customHeight="1">
      <c r="A9" t="s">
        <v>28</v>
      </c>
      <c r="B9" s="22">
        <v>4576</v>
      </c>
      <c r="C9" s="23">
        <v>316.50099999999998</v>
      </c>
      <c r="D9" s="23">
        <v>144.339</v>
      </c>
      <c r="E9" s="266">
        <v>45.604595246144598</v>
      </c>
      <c r="F9" s="21" t="s">
        <v>29</v>
      </c>
    </row>
    <row r="13" spans="1:38" ht="12.75" customHeight="1">
      <c r="A13" t="s">
        <v>30</v>
      </c>
    </row>
    <row r="14" spans="1:38" ht="12.75" customHeight="1">
      <c r="A14" t="s">
        <v>31</v>
      </c>
      <c r="B14" s="21" t="s">
        <v>32</v>
      </c>
      <c r="C14" s="21" t="s">
        <v>18</v>
      </c>
      <c r="D14" s="21" t="s">
        <v>19</v>
      </c>
      <c r="E14" s="21" t="s">
        <v>33</v>
      </c>
      <c r="F14" s="21" t="s">
        <v>34</v>
      </c>
    </row>
    <row r="15" spans="1:38" ht="12.75" customHeight="1">
      <c r="A15" t="s">
        <v>35</v>
      </c>
      <c r="B15" s="22">
        <v>7</v>
      </c>
      <c r="C15" s="22">
        <v>7</v>
      </c>
      <c r="D15" s="23">
        <v>0.13300000000000001</v>
      </c>
      <c r="E15" s="23">
        <v>2.5000000000000001E-2</v>
      </c>
      <c r="F15" s="23">
        <v>18.796992481202999</v>
      </c>
    </row>
    <row r="16" spans="1:38" ht="12.75" customHeight="1">
      <c r="A16" t="s">
        <v>36</v>
      </c>
      <c r="B16" s="22">
        <v>3</v>
      </c>
      <c r="C16" s="22">
        <v>3</v>
      </c>
      <c r="D16" s="23">
        <v>7.6999999999999999E-2</v>
      </c>
      <c r="E16" s="23">
        <v>0</v>
      </c>
      <c r="F16" s="23">
        <v>0</v>
      </c>
    </row>
    <row r="17" spans="1:7">
      <c r="A17" t="s">
        <v>28</v>
      </c>
      <c r="B17" s="22">
        <v>10</v>
      </c>
      <c r="C17" s="22">
        <v>10</v>
      </c>
      <c r="D17" s="23">
        <v>0.21</v>
      </c>
      <c r="E17" s="23">
        <v>2.5000000000000001E-2</v>
      </c>
      <c r="F17" s="23">
        <v>11.9047619047619</v>
      </c>
    </row>
    <row r="21" spans="1:7">
      <c r="A21" t="s">
        <v>37</v>
      </c>
    </row>
    <row r="22" spans="1:7">
      <c r="A22" t="s">
        <v>38</v>
      </c>
      <c r="B22" s="21" t="s">
        <v>39</v>
      </c>
      <c r="C22" s="21" t="s">
        <v>40</v>
      </c>
      <c r="D22" s="21" t="s">
        <v>41</v>
      </c>
      <c r="E22" s="21" t="s">
        <v>42</v>
      </c>
      <c r="F22" s="21" t="s">
        <v>43</v>
      </c>
      <c r="G22"/>
    </row>
    <row r="23" spans="1:7">
      <c r="A23" t="s">
        <v>44</v>
      </c>
      <c r="B23" s="22">
        <v>1</v>
      </c>
      <c r="C23" s="22">
        <v>1</v>
      </c>
      <c r="D23" s="23">
        <v>0.03</v>
      </c>
      <c r="E23" s="23">
        <v>1.2E-2</v>
      </c>
      <c r="F23" s="266">
        <v>40</v>
      </c>
      <c r="G23"/>
    </row>
    <row r="24" spans="1:7" ht="12.75" customHeight="1">
      <c r="A24" t="s">
        <v>49</v>
      </c>
      <c r="B24" s="22">
        <v>25</v>
      </c>
      <c r="C24" s="22">
        <v>25</v>
      </c>
      <c r="D24" s="23">
        <v>1.298</v>
      </c>
      <c r="E24" s="23">
        <v>0.64300000000000002</v>
      </c>
      <c r="F24" s="266">
        <v>49.537750385208</v>
      </c>
      <c r="G24"/>
    </row>
    <row r="25" spans="1:7" ht="12.75" customHeight="1">
      <c r="A25" t="s">
        <v>52</v>
      </c>
      <c r="B25" s="22">
        <v>26</v>
      </c>
      <c r="C25" s="22">
        <v>26</v>
      </c>
      <c r="D25" s="23">
        <v>1.3280000000000001</v>
      </c>
      <c r="E25" s="23">
        <v>0.65500000000000003</v>
      </c>
      <c r="F25" s="266">
        <v>49.322289156626503</v>
      </c>
      <c r="G25"/>
    </row>
    <row r="28" spans="1:7" ht="12.75" customHeight="1">
      <c r="A28" t="s">
        <v>53</v>
      </c>
    </row>
    <row r="29" spans="1:7" ht="12.75" customHeight="1">
      <c r="A29" t="s">
        <v>38</v>
      </c>
      <c r="B29" s="21" t="s">
        <v>39</v>
      </c>
      <c r="C29" s="21" t="s">
        <v>40</v>
      </c>
      <c r="D29" s="21" t="s">
        <v>41</v>
      </c>
      <c r="E29" s="21" t="s">
        <v>42</v>
      </c>
      <c r="F29" s="21" t="s">
        <v>43</v>
      </c>
      <c r="G29"/>
    </row>
    <row r="30" spans="1:7" ht="12.75" customHeight="1">
      <c r="A30" t="s">
        <v>45</v>
      </c>
      <c r="B30" s="22">
        <v>20</v>
      </c>
      <c r="C30" s="22">
        <v>20</v>
      </c>
      <c r="D30" s="23">
        <v>0.36099999999999999</v>
      </c>
      <c r="E30" s="23">
        <v>8.7999999999999995E-2</v>
      </c>
      <c r="F30" s="266">
        <v>24.376731301939099</v>
      </c>
      <c r="G30"/>
    </row>
    <row r="31" spans="1:7" ht="12.75" customHeight="1">
      <c r="A31" t="s">
        <v>52</v>
      </c>
      <c r="B31" s="22">
        <v>20</v>
      </c>
      <c r="C31" s="22">
        <v>20</v>
      </c>
      <c r="D31" s="23">
        <v>0.36099999999999999</v>
      </c>
      <c r="E31" s="23">
        <v>8.7999999999999995E-2</v>
      </c>
      <c r="F31" s="266">
        <v>24.376731301939099</v>
      </c>
      <c r="G31"/>
    </row>
    <row r="32" spans="1:7">
      <c r="A32"/>
      <c r="B32" s="22"/>
      <c r="C32" s="22"/>
      <c r="D32" s="23"/>
      <c r="E32" s="23"/>
      <c r="F32" s="266"/>
      <c r="G32"/>
    </row>
    <row r="36" spans="1:6">
      <c r="A36" t="s">
        <v>55</v>
      </c>
    </row>
    <row r="37" spans="1:6">
      <c r="A37" t="s">
        <v>38</v>
      </c>
      <c r="B37" s="21" t="s">
        <v>39</v>
      </c>
      <c r="C37" s="21" t="s">
        <v>40</v>
      </c>
      <c r="D37" s="21" t="s">
        <v>41</v>
      </c>
      <c r="E37" s="21" t="s">
        <v>56</v>
      </c>
      <c r="F37" s="21" t="s">
        <v>57</v>
      </c>
    </row>
    <row r="38" spans="1:6" ht="12.75" customHeight="1">
      <c r="A38" t="s">
        <v>44</v>
      </c>
      <c r="B38" s="22">
        <v>53</v>
      </c>
      <c r="C38" s="22">
        <v>1584</v>
      </c>
      <c r="D38" s="23">
        <v>22.498000000000001</v>
      </c>
      <c r="E38" s="23">
        <v>46.79</v>
      </c>
      <c r="F38" s="266">
        <v>94.06</v>
      </c>
    </row>
    <row r="39" spans="1:6" ht="12.75" customHeight="1">
      <c r="A39" t="s">
        <v>45</v>
      </c>
      <c r="B39" s="22">
        <v>41</v>
      </c>
      <c r="C39" s="22">
        <v>1554</v>
      </c>
      <c r="D39" s="23">
        <v>9.673</v>
      </c>
      <c r="E39" s="23">
        <v>82.6</v>
      </c>
      <c r="F39" s="266">
        <v>92.21</v>
      </c>
    </row>
    <row r="40" spans="1:6" ht="12.75" customHeight="1">
      <c r="A40" t="s">
        <v>46</v>
      </c>
      <c r="B40" s="22">
        <v>17</v>
      </c>
      <c r="C40" s="22">
        <v>148</v>
      </c>
      <c r="D40" s="23">
        <v>10.946999999999999</v>
      </c>
      <c r="E40" s="23">
        <v>13.92</v>
      </c>
      <c r="F40" s="266">
        <v>98.77</v>
      </c>
    </row>
    <row r="41" spans="1:6" ht="12.75" customHeight="1">
      <c r="A41"/>
      <c r="B41" s="22"/>
      <c r="C41" s="22"/>
      <c r="D41" s="23"/>
      <c r="E41" s="23"/>
      <c r="F41" s="266"/>
    </row>
    <row r="42" spans="1:6" ht="12.75" customHeight="1">
      <c r="A42"/>
      <c r="B42" s="22"/>
      <c r="C42" s="22"/>
      <c r="D42" s="23"/>
      <c r="E42" s="23"/>
      <c r="F42" s="266"/>
    </row>
    <row r="43" spans="1:6" ht="12.75" customHeight="1">
      <c r="A43"/>
      <c r="B43" s="22"/>
      <c r="C43" s="22"/>
      <c r="D43" s="23"/>
      <c r="E43" s="23"/>
      <c r="F43" s="266"/>
    </row>
    <row r="44" spans="1:6">
      <c r="A44" t="s">
        <v>58</v>
      </c>
      <c r="B44" s="22">
        <v>21</v>
      </c>
      <c r="C44" s="22">
        <v>122</v>
      </c>
      <c r="D44" s="23">
        <v>2.347</v>
      </c>
      <c r="E44" s="23">
        <v>45.64</v>
      </c>
      <c r="F44" s="266">
        <v>101.17</v>
      </c>
    </row>
    <row r="45" spans="1:6">
      <c r="A45" t="s">
        <v>50</v>
      </c>
      <c r="B45" s="22">
        <v>11</v>
      </c>
      <c r="C45" s="22">
        <v>128</v>
      </c>
      <c r="D45" s="23">
        <v>0.72399999999999998</v>
      </c>
      <c r="E45" s="23">
        <v>77.92</v>
      </c>
      <c r="F45" s="266">
        <v>92.09</v>
      </c>
    </row>
    <row r="46" spans="1:6">
      <c r="A46" t="s">
        <v>54</v>
      </c>
      <c r="B46" s="22">
        <v>12</v>
      </c>
      <c r="C46" s="22">
        <v>44</v>
      </c>
      <c r="D46" s="23">
        <v>3.3319999999999999</v>
      </c>
      <c r="E46" s="23">
        <v>13.96</v>
      </c>
      <c r="F46" s="266">
        <v>98.93</v>
      </c>
    </row>
    <row r="47" spans="1:6">
      <c r="A47" t="s">
        <v>51</v>
      </c>
      <c r="B47" s="22">
        <v>59</v>
      </c>
      <c r="C47" s="22">
        <v>996</v>
      </c>
      <c r="D47" s="23">
        <v>94.817999999999998</v>
      </c>
      <c r="E47" s="23">
        <v>11.43</v>
      </c>
      <c r="F47" s="266">
        <v>97.15</v>
      </c>
    </row>
    <row r="48" spans="1:6">
      <c r="A48" t="s">
        <v>52</v>
      </c>
      <c r="B48" s="22">
        <v>214</v>
      </c>
      <c r="C48" s="22">
        <v>4576</v>
      </c>
      <c r="D48" s="23">
        <v>144.339</v>
      </c>
      <c r="E48" s="266">
        <v>14.4976153780425</v>
      </c>
      <c r="F48" s="266">
        <v>96.550409375501701</v>
      </c>
    </row>
    <row r="52" spans="1:6">
      <c r="A52"/>
    </row>
    <row r="53" spans="1:6">
      <c r="A53"/>
      <c r="B53" s="21"/>
      <c r="C53" s="21"/>
      <c r="D53" s="21"/>
      <c r="E53" s="21"/>
      <c r="F53" s="21"/>
    </row>
    <row r="54" spans="1:6" ht="12.75" customHeight="1">
      <c r="A54"/>
      <c r="B54" s="22"/>
      <c r="C54" s="22"/>
      <c r="D54" s="23"/>
      <c r="E54" s="23"/>
      <c r="F54" s="266"/>
    </row>
    <row r="55" spans="1:6" ht="12.75" customHeight="1">
      <c r="A55"/>
      <c r="B55" s="22"/>
      <c r="C55" s="22"/>
      <c r="D55" s="23"/>
      <c r="E55" s="266"/>
      <c r="F55" s="266"/>
    </row>
    <row r="56" spans="1:6" ht="12.75" customHeight="1">
      <c r="A56"/>
    </row>
    <row r="57" spans="1:6">
      <c r="A57"/>
      <c r="B57" s="21"/>
      <c r="C57" s="21"/>
      <c r="D57" s="21"/>
      <c r="E57" s="21"/>
      <c r="F57" s="21"/>
    </row>
    <row r="58" spans="1:6">
      <c r="A58"/>
      <c r="B58" s="22"/>
      <c r="C58" s="22"/>
      <c r="D58" s="23"/>
      <c r="E58" s="23"/>
      <c r="F58" s="266"/>
    </row>
    <row r="59" spans="1:6">
      <c r="A59"/>
      <c r="B59" s="22"/>
      <c r="C59" s="22"/>
      <c r="D59" s="23"/>
      <c r="E59" s="266"/>
      <c r="F59" s="266"/>
    </row>
    <row r="60" spans="1:6">
      <c r="A60"/>
    </row>
    <row r="61" spans="1:6">
      <c r="A61"/>
      <c r="B61" s="21"/>
      <c r="C61" s="21"/>
      <c r="D61" s="21"/>
      <c r="E61" s="21"/>
      <c r="F61" s="21"/>
    </row>
    <row r="62" spans="1:6">
      <c r="A62"/>
      <c r="B62" s="22"/>
      <c r="C62" s="22"/>
      <c r="D62" s="23"/>
      <c r="E62" s="23"/>
      <c r="F62" s="266"/>
    </row>
    <row r="63" spans="1:6">
      <c r="A63"/>
      <c r="B63" s="22"/>
      <c r="C63" s="22"/>
      <c r="D63" s="23"/>
      <c r="E63" s="266"/>
      <c r="F63" s="266"/>
    </row>
    <row r="64" spans="1:6">
      <c r="A64"/>
    </row>
    <row r="65" spans="1:6">
      <c r="A65"/>
      <c r="B65" s="21"/>
      <c r="C65" s="21"/>
      <c r="D65" s="21"/>
      <c r="E65" s="21"/>
      <c r="F65" s="21"/>
    </row>
    <row r="66" spans="1:6">
      <c r="A66"/>
      <c r="B66" s="22"/>
      <c r="C66" s="22"/>
      <c r="D66" s="23"/>
      <c r="E66" s="23"/>
      <c r="F66" s="266"/>
    </row>
    <row r="67" spans="1:6">
      <c r="A67"/>
      <c r="B67" s="22"/>
      <c r="C67" s="22"/>
      <c r="D67" s="23"/>
      <c r="E67" s="266"/>
      <c r="F67" s="266"/>
    </row>
    <row r="68" spans="1:6">
      <c r="A68"/>
    </row>
    <row r="69" spans="1:6">
      <c r="A69"/>
      <c r="B69" s="21"/>
      <c r="C69" s="21"/>
      <c r="D69" s="21"/>
      <c r="E69" s="21"/>
      <c r="F69" s="21"/>
    </row>
    <row r="70" spans="1:6">
      <c r="A70"/>
      <c r="B70" s="22"/>
      <c r="C70" s="22"/>
      <c r="D70" s="23"/>
      <c r="E70" s="23"/>
      <c r="F70" s="266"/>
    </row>
    <row r="71" spans="1:6">
      <c r="A71"/>
      <c r="B71" s="22"/>
      <c r="C71" s="22"/>
      <c r="D71" s="23"/>
      <c r="E71" s="266"/>
      <c r="F71" s="266"/>
    </row>
  </sheetData>
  <conditionalFormatting sqref="I59:I71">
    <cfRule type="duplicateValues" dxfId="17" priority="1" stopIfTrue="1"/>
  </conditionalFormatting>
  <pageMargins left="0" right="0" top="0" bottom="0" header="0" footer="0"/>
  <pageSetup fitToWidth="0" fitToHeight="0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3"/>
  <sheetViews>
    <sheetView workbookViewId="0">
      <selection activeCell="L11" sqref="L11"/>
    </sheetView>
  </sheetViews>
  <sheetFormatPr defaultRowHeight="12.75"/>
  <cols>
    <col min="1" max="1" width="16.140625" customWidth="1"/>
    <col min="6" max="6" width="17.85546875" customWidth="1"/>
  </cols>
  <sheetData>
    <row r="1" spans="1:38">
      <c r="A1" t="s">
        <v>55</v>
      </c>
      <c r="B1" s="265"/>
      <c r="C1" s="265"/>
      <c r="D1" s="265"/>
      <c r="E1" s="265"/>
      <c r="F1" s="26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>
      <c r="A2" t="s">
        <v>38</v>
      </c>
      <c r="B2" s="21" t="s">
        <v>39</v>
      </c>
      <c r="C2" s="21" t="s">
        <v>40</v>
      </c>
      <c r="D2" s="21" t="s">
        <v>41</v>
      </c>
      <c r="E2" s="21" t="s">
        <v>56</v>
      </c>
      <c r="F2" s="21" t="s">
        <v>57</v>
      </c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>
      <c r="A3" t="s">
        <v>44</v>
      </c>
      <c r="B3" s="22">
        <v>53</v>
      </c>
      <c r="C3" s="22">
        <v>1584</v>
      </c>
      <c r="D3" s="23">
        <v>22.498000000000001</v>
      </c>
      <c r="E3" s="23">
        <v>46.79</v>
      </c>
      <c r="F3" s="266">
        <v>94.06</v>
      </c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</row>
    <row r="4" spans="1:38">
      <c r="A4" t="s">
        <v>45</v>
      </c>
      <c r="B4" s="22">
        <v>41</v>
      </c>
      <c r="C4" s="22">
        <v>1554</v>
      </c>
      <c r="D4" s="23">
        <v>9.673</v>
      </c>
      <c r="E4" s="23">
        <v>82.6</v>
      </c>
      <c r="F4" s="266">
        <v>92.21</v>
      </c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</row>
    <row r="5" spans="1:38">
      <c r="A5" t="s">
        <v>46</v>
      </c>
      <c r="B5" s="22">
        <v>17</v>
      </c>
      <c r="C5" s="22">
        <v>148</v>
      </c>
      <c r="D5" s="23">
        <v>10.946999999999999</v>
      </c>
      <c r="E5" s="23">
        <v>13.92</v>
      </c>
      <c r="F5" s="266">
        <v>98.77</v>
      </c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</row>
    <row r="6" spans="1:38">
      <c r="B6" s="22"/>
      <c r="C6" s="22"/>
      <c r="D6" s="23"/>
      <c r="E6" s="23"/>
      <c r="F6" s="266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</row>
    <row r="7" spans="1:38">
      <c r="B7" s="22"/>
      <c r="C7" s="22"/>
      <c r="D7" s="23"/>
      <c r="E7" s="23"/>
      <c r="F7" s="266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</row>
    <row r="8" spans="1:38">
      <c r="B8" s="22"/>
      <c r="C8" s="22"/>
      <c r="D8" s="23"/>
      <c r="E8" s="23"/>
      <c r="F8" s="266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</row>
    <row r="9" spans="1:38">
      <c r="A9" t="s">
        <v>58</v>
      </c>
      <c r="B9" s="22">
        <v>21</v>
      </c>
      <c r="C9" s="22">
        <v>122</v>
      </c>
      <c r="D9" s="23">
        <v>2.347</v>
      </c>
      <c r="E9" s="23">
        <v>45.64</v>
      </c>
      <c r="F9" s="266">
        <v>101.17</v>
      </c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</row>
    <row r="10" spans="1:38">
      <c r="A10" t="s">
        <v>50</v>
      </c>
      <c r="B10" s="22">
        <v>11</v>
      </c>
      <c r="C10" s="22">
        <v>128</v>
      </c>
      <c r="D10" s="23">
        <v>0.72399999999999998</v>
      </c>
      <c r="E10" s="23">
        <v>77.92</v>
      </c>
      <c r="F10" s="266">
        <v>92.09</v>
      </c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</row>
    <row r="11" spans="1:38">
      <c r="A11" t="s">
        <v>54</v>
      </c>
      <c r="B11" s="22">
        <v>12</v>
      </c>
      <c r="C11" s="22">
        <v>44</v>
      </c>
      <c r="D11" s="23">
        <v>3.3319999999999999</v>
      </c>
      <c r="E11" s="23">
        <v>13.96</v>
      </c>
      <c r="F11" s="266">
        <v>98.93</v>
      </c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</row>
    <row r="12" spans="1:38">
      <c r="A12" t="s">
        <v>51</v>
      </c>
      <c r="B12" s="22">
        <v>59</v>
      </c>
      <c r="C12" s="22">
        <v>996</v>
      </c>
      <c r="D12" s="23">
        <v>94.817999999999998</v>
      </c>
      <c r="E12" s="23">
        <v>11.43</v>
      </c>
      <c r="F12" s="266">
        <v>97.15</v>
      </c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</row>
    <row r="13" spans="1:38">
      <c r="A13" t="s">
        <v>52</v>
      </c>
      <c r="B13" s="22">
        <v>214</v>
      </c>
      <c r="C13" s="22">
        <v>4576</v>
      </c>
      <c r="D13" s="23">
        <v>144.339</v>
      </c>
      <c r="E13" s="266">
        <v>14.4976153780425</v>
      </c>
      <c r="F13" s="266">
        <v>96.550409375501701</v>
      </c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"/>
  <sheetViews>
    <sheetView workbookViewId="0"/>
  </sheetViews>
  <sheetFormatPr defaultRowHeight="12.75"/>
  <sheetData>
    <row r="1" spans="1:38">
      <c r="A1" t="s">
        <v>53</v>
      </c>
      <c r="B1" s="265"/>
      <c r="C1" s="265"/>
      <c r="D1" s="265"/>
      <c r="E1" s="265"/>
      <c r="F1" s="26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>
      <c r="A2" t="s">
        <v>38</v>
      </c>
      <c r="B2" s="21" t="s">
        <v>39</v>
      </c>
      <c r="C2" s="21" t="s">
        <v>40</v>
      </c>
      <c r="D2" s="21" t="s">
        <v>41</v>
      </c>
      <c r="E2" s="21" t="s">
        <v>42</v>
      </c>
      <c r="F2" s="21" t="s">
        <v>43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>
      <c r="A3" t="s">
        <v>45</v>
      </c>
      <c r="B3" s="22">
        <v>20</v>
      </c>
      <c r="C3" s="22">
        <v>20</v>
      </c>
      <c r="D3" s="23">
        <v>0.36099999999999999</v>
      </c>
      <c r="E3" s="23">
        <v>8.7999999999999995E-2</v>
      </c>
      <c r="F3" s="266">
        <v>24.376731301939099</v>
      </c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</row>
    <row r="4" spans="1:38">
      <c r="A4" t="s">
        <v>52</v>
      </c>
      <c r="B4" s="22">
        <v>20</v>
      </c>
      <c r="C4" s="22">
        <v>20</v>
      </c>
      <c r="D4" s="23">
        <v>0.36099999999999999</v>
      </c>
      <c r="E4" s="23">
        <v>8.7999999999999995E-2</v>
      </c>
      <c r="F4" s="266">
        <v>24.376731301939099</v>
      </c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5"/>
  <sheetViews>
    <sheetView workbookViewId="0">
      <selection activeCell="E4" sqref="E4"/>
    </sheetView>
  </sheetViews>
  <sheetFormatPr defaultRowHeight="12.75"/>
  <sheetData>
    <row r="1" spans="1:38">
      <c r="A1" t="s">
        <v>37</v>
      </c>
      <c r="B1" s="265"/>
      <c r="C1" s="265"/>
      <c r="D1" s="265"/>
      <c r="E1" s="265"/>
      <c r="F1" s="26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>
      <c r="A2" t="s">
        <v>38</v>
      </c>
      <c r="B2" s="21" t="s">
        <v>39</v>
      </c>
      <c r="C2" s="21" t="s">
        <v>40</v>
      </c>
      <c r="D2" s="21" t="s">
        <v>41</v>
      </c>
      <c r="E2" s="21" t="s">
        <v>42</v>
      </c>
      <c r="F2" s="21" t="s">
        <v>43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>
      <c r="A3" t="s">
        <v>44</v>
      </c>
      <c r="B3" s="22">
        <v>1</v>
      </c>
      <c r="C3" s="22">
        <v>1</v>
      </c>
      <c r="D3" s="23">
        <v>0.03</v>
      </c>
      <c r="E3" s="23">
        <v>1.2E-2</v>
      </c>
      <c r="F3" s="266">
        <v>40</v>
      </c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</row>
    <row r="4" spans="1:38">
      <c r="A4" t="s">
        <v>49</v>
      </c>
      <c r="B4" s="22">
        <v>25</v>
      </c>
      <c r="C4" s="22">
        <v>25</v>
      </c>
      <c r="D4" s="23">
        <v>1.298</v>
      </c>
      <c r="E4" s="23">
        <v>0.64300000000000002</v>
      </c>
      <c r="F4" s="266">
        <v>49.537750385208</v>
      </c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</row>
    <row r="5" spans="1:38">
      <c r="A5" t="s">
        <v>52</v>
      </c>
      <c r="B5" s="22">
        <v>26</v>
      </c>
      <c r="C5" s="22">
        <v>26</v>
      </c>
      <c r="D5" s="23">
        <v>1.3280000000000001</v>
      </c>
      <c r="E5" s="23">
        <v>0.65500000000000003</v>
      </c>
      <c r="F5" s="266">
        <v>49.322289156626503</v>
      </c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V100"/>
  <sheetViews>
    <sheetView topLeftCell="G1" zoomScale="130" zoomScaleNormal="130" workbookViewId="0">
      <selection activeCell="S5" sqref="S5"/>
    </sheetView>
  </sheetViews>
  <sheetFormatPr defaultRowHeight="12.75"/>
  <cols>
    <col min="1" max="1" width="8.42578125" customWidth="1"/>
    <col min="2" max="2" width="9.140625" customWidth="1"/>
    <col min="3" max="3" width="18.7109375" style="3" bestFit="1" customWidth="1"/>
    <col min="4" max="4" width="15.140625" style="4" customWidth="1"/>
    <col min="5" max="5" width="12.85546875" style="4" customWidth="1"/>
    <col min="6" max="6" width="11.7109375" style="4" customWidth="1"/>
    <col min="7" max="7" width="14.28515625" style="4" customWidth="1"/>
    <col min="8" max="8" width="12.28515625" style="4" customWidth="1"/>
    <col min="9" max="9" width="10.5703125" style="4" customWidth="1"/>
    <col min="10" max="10" width="12" style="3" bestFit="1" customWidth="1"/>
    <col min="11" max="11" width="14.42578125" customWidth="1"/>
    <col min="13" max="13" width="21.28515625" customWidth="1"/>
    <col min="14" max="14" width="12" customWidth="1"/>
    <col min="15" max="15" width="9.28515625" customWidth="1"/>
    <col min="16" max="16" width="8.28515625" hidden="1" customWidth="1"/>
    <col min="17" max="17" width="10.5703125" hidden="1" customWidth="1"/>
    <col min="18" max="19" width="10.5703125" customWidth="1"/>
  </cols>
  <sheetData>
    <row r="1" spans="1:19" s="38" customFormat="1" ht="18.75" thickBot="1">
      <c r="A1" s="278" t="s">
        <v>89</v>
      </c>
      <c r="B1" s="279"/>
      <c r="C1" s="279"/>
      <c r="D1" s="279"/>
      <c r="E1" s="279"/>
      <c r="F1" s="279"/>
      <c r="G1" s="279"/>
      <c r="H1" s="279"/>
      <c r="I1" s="280"/>
      <c r="J1" s="37"/>
      <c r="K1" s="273" t="s">
        <v>171</v>
      </c>
      <c r="M1" s="273" t="s">
        <v>169</v>
      </c>
      <c r="P1" s="117" t="s">
        <v>96</v>
      </c>
      <c r="Q1" s="118" t="s">
        <v>82</v>
      </c>
      <c r="R1" s="118"/>
      <c r="S1" s="118"/>
    </row>
    <row r="2" spans="1:19" ht="13.5" thickBot="1">
      <c r="M2" s="259" t="s">
        <v>38</v>
      </c>
      <c r="N2" s="260" t="s">
        <v>77</v>
      </c>
      <c r="O2" s="260" t="s">
        <v>78</v>
      </c>
      <c r="P2" s="257" t="s">
        <v>98</v>
      </c>
      <c r="Q2" s="118" t="s">
        <v>82</v>
      </c>
      <c r="R2" s="118"/>
      <c r="S2" s="118"/>
    </row>
    <row r="3" spans="1:19">
      <c r="A3" s="276" t="s">
        <v>100</v>
      </c>
      <c r="B3" s="277"/>
      <c r="C3" s="52" t="s">
        <v>102</v>
      </c>
      <c r="D3" s="92">
        <f>+'DATA DUMP'!$F$3</f>
        <v>324.54000000000002</v>
      </c>
      <c r="E3" s="55" t="s">
        <v>104</v>
      </c>
      <c r="F3" s="92">
        <f>+'DATA DUMP'!$L$3</f>
        <v>4638</v>
      </c>
      <c r="G3" s="58" t="s">
        <v>107</v>
      </c>
      <c r="H3" s="92">
        <f>+'DATA DUMP'!R3</f>
        <v>4613</v>
      </c>
      <c r="I3" s="13"/>
      <c r="M3" s="264" t="s">
        <v>44</v>
      </c>
      <c r="N3" s="25">
        <f ca="1">_xlfn.IFNA(VLOOKUP($M3,INDIRECT("'"&amp;$M$1&amp;"'!$A:$G"),3,0)," ")</f>
        <v>1</v>
      </c>
      <c r="O3" s="25">
        <f ca="1">IFERROR(_xlfn.IFNA(VLOOKUP($M3,INDIRECT("'"&amp;$M$1&amp;"'!$A:$G"),4,0)," ")*_xlfn.IFNA(VLOOKUP($M3,INDIRECT("'"&amp;$K$1&amp;"'!$A:$G"),6,0)," ")," ")</f>
        <v>2.8218000000000001</v>
      </c>
      <c r="P3" s="257" t="s">
        <v>72</v>
      </c>
      <c r="Q3" s="118" t="s">
        <v>83</v>
      </c>
      <c r="R3" s="118"/>
      <c r="S3" s="118"/>
    </row>
    <row r="4" spans="1:19">
      <c r="A4" s="274" t="s">
        <v>72</v>
      </c>
      <c r="B4" s="275"/>
      <c r="C4" s="53" t="s">
        <v>103</v>
      </c>
      <c r="D4" s="14">
        <f>+'DATA DUMP'!K3</f>
        <v>732</v>
      </c>
      <c r="E4" s="56" t="s">
        <v>105</v>
      </c>
      <c r="F4" s="14">
        <f>+'DATA DUMP'!M3</f>
        <v>152.48099999999999</v>
      </c>
      <c r="G4" s="59" t="s">
        <v>108</v>
      </c>
      <c r="H4" s="14">
        <f>+'DATA DUMP'!S3</f>
        <v>150.46100000000001</v>
      </c>
      <c r="I4" s="49"/>
      <c r="M4" s="264" t="s">
        <v>45</v>
      </c>
      <c r="N4" s="25" t="str">
        <f t="shared" ref="N4:N14" ca="1" si="0">_xlfn.IFNA(VLOOKUP($M4,INDIRECT("'"&amp;$M$1&amp;"'!$A:$G"),3,0)," ")</f>
        <v xml:space="preserve"> </v>
      </c>
      <c r="O4" s="25" t="str">
        <f t="shared" ref="O4:O14" ca="1" si="1">IFERROR(_xlfn.IFNA(VLOOKUP($M4,INDIRECT("'"&amp;$M$1&amp;"'!$A:$G"),4,0)," ")*_xlfn.IFNA(VLOOKUP($M4,INDIRECT("'"&amp;$K$1&amp;"'!$A:$G"),6,0)," ")," ")</f>
        <v xml:space="preserve"> </v>
      </c>
    </row>
    <row r="5" spans="1:19" ht="13.5" thickBot="1">
      <c r="C5" s="54"/>
      <c r="D5" s="50"/>
      <c r="E5" s="57" t="s">
        <v>106</v>
      </c>
      <c r="F5" s="15">
        <f>+F4/D3*100</f>
        <v>46.983730819005359</v>
      </c>
      <c r="G5" s="60" t="s">
        <v>109</v>
      </c>
      <c r="H5" s="15">
        <f>+H4/D3*100</f>
        <v>46.361311394589265</v>
      </c>
      <c r="I5" s="51"/>
      <c r="M5" s="264" t="s">
        <v>46</v>
      </c>
      <c r="N5" s="25" t="str">
        <f t="shared" ca="1" si="0"/>
        <v xml:space="preserve"> </v>
      </c>
      <c r="O5" s="25" t="str">
        <f t="shared" ca="1" si="1"/>
        <v xml:space="preserve"> </v>
      </c>
    </row>
    <row r="6" spans="1:19" ht="13.5" thickBot="1">
      <c r="M6" s="264" t="s">
        <v>58</v>
      </c>
      <c r="N6" s="25" t="str">
        <f t="shared" ca="1" si="0"/>
        <v xml:space="preserve"> </v>
      </c>
      <c r="O6" s="25" t="str">
        <f t="shared" ca="1" si="1"/>
        <v xml:space="preserve"> </v>
      </c>
    </row>
    <row r="7" spans="1:19" ht="24">
      <c r="C7" s="136" t="s">
        <v>91</v>
      </c>
      <c r="D7" s="139" t="s">
        <v>90</v>
      </c>
      <c r="E7" s="113" t="s">
        <v>82</v>
      </c>
      <c r="F7" s="137" t="s">
        <v>83</v>
      </c>
      <c r="G7" s="137" t="s">
        <v>79</v>
      </c>
      <c r="H7" s="137" t="s">
        <v>95</v>
      </c>
      <c r="I7" s="140" t="s">
        <v>88</v>
      </c>
      <c r="J7" s="140" t="s">
        <v>117</v>
      </c>
      <c r="K7" s="4"/>
      <c r="L7" s="3"/>
      <c r="M7" s="264" t="s">
        <v>59</v>
      </c>
      <c r="N7" s="25" t="str">
        <f t="shared" ca="1" si="0"/>
        <v xml:space="preserve"> </v>
      </c>
      <c r="O7" s="25" t="str">
        <f t="shared" ca="1" si="1"/>
        <v xml:space="preserve"> </v>
      </c>
    </row>
    <row r="8" spans="1:19" ht="15">
      <c r="C8" s="27" t="s">
        <v>25</v>
      </c>
      <c r="D8" s="36" t="s">
        <v>25</v>
      </c>
      <c r="E8" s="14">
        <f>SUMIFS(Master!$F$18:$AD$18,Master!$F$3:$AD$3,RESULT!$D8,Master!$F$4:$AD$4,RESULT!E$7)</f>
        <v>100</v>
      </c>
      <c r="F8" s="14">
        <f>SUMIFS(Master!$F$18:$AD$18,Master!$F$3:$AD$3,RESULT!$D8,Master!$F$4:$AD$4,RESULT!F$7)</f>
        <v>30</v>
      </c>
      <c r="G8" s="14">
        <f>VLOOKUP(C8&amp;D8,Master!$C$44:$F$55,MATCH(RESULT!$A$4,Master!$C$44:$F$44,0),FALSE)</f>
        <v>2200</v>
      </c>
      <c r="H8" s="18">
        <f>IF($A$4=$P$3,$D$3*G8,IF(OR($A$4=$P$1,$A$4=$P$2),E8*G8,""))</f>
        <v>713988</v>
      </c>
      <c r="I8" s="267">
        <f t="shared" ref="I8:I19" si="2">+E8/$E$19*100</f>
        <v>3.4602076124567476</v>
      </c>
      <c r="J8" s="267">
        <f>+F8/$F$19*100</f>
        <v>9.8360655737704921</v>
      </c>
      <c r="K8" s="4"/>
      <c r="L8" s="3"/>
      <c r="M8" s="264" t="s">
        <v>48</v>
      </c>
      <c r="N8" s="25" t="str">
        <f t="shared" ca="1" si="0"/>
        <v xml:space="preserve"> </v>
      </c>
      <c r="O8" s="25" t="str">
        <f t="shared" ca="1" si="1"/>
        <v xml:space="preserve"> </v>
      </c>
    </row>
    <row r="9" spans="1:19" ht="15">
      <c r="C9" s="27" t="s">
        <v>25</v>
      </c>
      <c r="D9" s="36" t="s">
        <v>68</v>
      </c>
      <c r="E9" s="14">
        <f>SUMIFS(Master!$F$18:$AD$18,Master!$F$3:$AD$3,RESULT!$D9,Master!$F$4:$AD$4,RESULT!E$7)</f>
        <v>15</v>
      </c>
      <c r="F9" s="14">
        <f>SUMIFS(Master!$F$18:$AD$18,Master!$F$3:$AD$3,RESULT!$D9,Master!$F$4:$AD$4,RESULT!F$7)</f>
        <v>50</v>
      </c>
      <c r="G9" s="14">
        <f>VLOOKUP(C9&amp;D9,Master!$C$44:$F$55,MATCH(RESULT!$A$4,Master!$C$44:$F$44,0),FALSE)</f>
        <v>0</v>
      </c>
      <c r="H9" s="18">
        <f>IF($A$4=$P$3,$D$3*G9,IF(OR($A$4=$P$1,$A$4=$P$2),E9*G9,""))</f>
        <v>0</v>
      </c>
      <c r="I9" s="267">
        <f>+E9/$E$19*100</f>
        <v>0.51903114186851207</v>
      </c>
      <c r="J9" s="267">
        <f t="shared" ref="J9:J19" si="3">+F9/$F$19*100</f>
        <v>16.393442622950818</v>
      </c>
      <c r="K9" s="5"/>
      <c r="L9" s="3"/>
      <c r="M9" s="264" t="s">
        <v>49</v>
      </c>
      <c r="N9" s="25">
        <f t="shared" ca="1" si="0"/>
        <v>25</v>
      </c>
      <c r="O9" s="25" t="str">
        <f t="shared" ca="1" si="1"/>
        <v xml:space="preserve"> </v>
      </c>
    </row>
    <row r="10" spans="1:19" ht="15">
      <c r="C10" s="27" t="s">
        <v>25</v>
      </c>
      <c r="D10" s="36" t="s">
        <v>69</v>
      </c>
      <c r="E10" s="14">
        <f>SUMIFS(Master!$F$18:$AD$18,Master!$F$3:$AD$3,RESULT!$D10,Master!$F$4:$AD$4,RESULT!E$7)</f>
        <v>25</v>
      </c>
      <c r="F10" s="14">
        <f>SUMIFS(Master!$F$18:$AD$18,Master!$F$3:$AD$3,RESULT!$D10,Master!$F$4:$AD$4,RESULT!F$7)</f>
        <v>25</v>
      </c>
      <c r="G10" s="14">
        <f>VLOOKUP(C10&amp;D10,Master!$C$44:$F$55,MATCH(RESULT!$A$4,Master!$C$44:$F$44,0),FALSE)</f>
        <v>0</v>
      </c>
      <c r="H10" s="18">
        <f>IF($A$4=$P$3,$D$3*G10,IF(OR($A$4=$P$1,$A$4=$P$2),E10*G10,""))</f>
        <v>0</v>
      </c>
      <c r="I10" s="267">
        <f t="shared" si="2"/>
        <v>0.86505190311418689</v>
      </c>
      <c r="J10" s="267">
        <f t="shared" si="3"/>
        <v>8.1967213114754092</v>
      </c>
      <c r="K10" s="5"/>
      <c r="L10" s="3"/>
      <c r="M10" s="264" t="s">
        <v>50</v>
      </c>
      <c r="N10" s="25" t="str">
        <f t="shared" ca="1" si="0"/>
        <v xml:space="preserve"> </v>
      </c>
      <c r="O10" s="25" t="str">
        <f t="shared" ca="1" si="1"/>
        <v xml:space="preserve"> </v>
      </c>
    </row>
    <row r="11" spans="1:19" ht="15">
      <c r="C11" s="27" t="s">
        <v>25</v>
      </c>
      <c r="D11" s="36" t="s">
        <v>70</v>
      </c>
      <c r="E11" s="14">
        <f>SUMIFS(Master!$F$18:$AD$18,Master!$F$3:$AD$3,RESULT!$D11,Master!$F$4:$AD$4,RESULT!E$7)</f>
        <v>1000</v>
      </c>
      <c r="F11" s="14">
        <f>SUMIFS(Master!$F$18:$AD$18,Master!$F$3:$AD$3,RESULT!$D11,Master!$F$4:$AD$4,RESULT!F$7)</f>
        <v>75</v>
      </c>
      <c r="G11" s="14">
        <f>VLOOKUP(C11&amp;D11,Master!$C$44:$F$55,MATCH(RESULT!$A$4,Master!$C$44:$F$44,0),FALSE)</f>
        <v>0</v>
      </c>
      <c r="H11" s="18">
        <f>IF($A$4=$P$3,$D$3*G11,IF(OR($A$4=$P$1,$A$4=$P$2),E11*G11,""))</f>
        <v>0</v>
      </c>
      <c r="I11" s="267">
        <f t="shared" si="2"/>
        <v>34.602076124567475</v>
      </c>
      <c r="J11" s="267">
        <f t="shared" si="3"/>
        <v>24.590163934426229</v>
      </c>
      <c r="K11" s="4"/>
      <c r="L11" s="3"/>
      <c r="M11" s="264" t="s">
        <v>54</v>
      </c>
      <c r="N11" s="25" t="str">
        <f t="shared" ca="1" si="0"/>
        <v xml:space="preserve"> </v>
      </c>
      <c r="O11" s="25" t="str">
        <f t="shared" ca="1" si="1"/>
        <v xml:space="preserve"> </v>
      </c>
    </row>
    <row r="12" spans="1:19" ht="15">
      <c r="C12" s="27" t="s">
        <v>25</v>
      </c>
      <c r="D12" s="36" t="s">
        <v>71</v>
      </c>
      <c r="E12" s="14">
        <f>SUMIFS(Master!$F$18:$AD$18,Master!$F$3:$AD$3,RESULT!$D12,Master!$F$4:$AD$4,RESULT!E$7)</f>
        <v>900</v>
      </c>
      <c r="F12" s="14">
        <f>SUMIFS(Master!$F$18:$AD$18,Master!$F$3:$AD$3,RESULT!$D12,Master!$F$4:$AD$4,RESULT!F$7)</f>
        <v>60</v>
      </c>
      <c r="G12" s="14">
        <f>VLOOKUP(C12&amp;D12,Master!$C$44:$F$55,MATCH(RESULT!$A$4,Master!$C$44:$F$44,0),FALSE)</f>
        <v>0</v>
      </c>
      <c r="H12" s="18">
        <f>IF($A$4=$P$3,$D$3*G12,IF(OR($A$4=$P$1,$A$4=$P$2),E12*G12,""))</f>
        <v>0</v>
      </c>
      <c r="I12" s="267">
        <f t="shared" si="2"/>
        <v>31.141868512110726</v>
      </c>
      <c r="J12" s="267">
        <f t="shared" si="3"/>
        <v>19.672131147540984</v>
      </c>
      <c r="K12" s="4"/>
      <c r="L12" s="6"/>
      <c r="M12" s="264" t="s">
        <v>51</v>
      </c>
      <c r="N12" s="25" t="str">
        <f t="shared" ca="1" si="0"/>
        <v xml:space="preserve"> </v>
      </c>
      <c r="O12" s="25" t="str">
        <f t="shared" ca="1" si="1"/>
        <v xml:space="preserve"> </v>
      </c>
    </row>
    <row r="13" spans="1:19" ht="15">
      <c r="C13" s="27" t="s">
        <v>25</v>
      </c>
      <c r="D13" s="36" t="s">
        <v>72</v>
      </c>
      <c r="E13" s="14">
        <f>SUMIFS(Master!$F$18:$AD$18,Master!$F$3:$AD$3,RESULT!$D13,Master!$F$4:$AD$4,RESULT!E$7)</f>
        <v>850</v>
      </c>
      <c r="F13" s="14">
        <f>SUMIFS(Master!$F$18:$AD$18,Master!$F$3:$AD$3,RESULT!$D13,Master!$F$4:$AD$4,RESULT!F$7)</f>
        <v>65</v>
      </c>
      <c r="G13" s="14">
        <f>VLOOKUP(C13&amp;D13,Master!$C$44:$F$55,MATCH(RESULT!$A$4,Master!$C$44:$F$44,0),FALSE)</f>
        <v>0</v>
      </c>
      <c r="H13" s="18">
        <f>IF($A$4=$P$3,$D$3*G13,IF(OR($A$4=$P$1,$A$4=$P$2),E13*G13,""))</f>
        <v>0</v>
      </c>
      <c r="I13" s="267">
        <f t="shared" si="2"/>
        <v>29.411764705882355</v>
      </c>
      <c r="J13" s="267">
        <f t="shared" si="3"/>
        <v>21.311475409836063</v>
      </c>
      <c r="K13" s="5"/>
      <c r="L13" s="3"/>
      <c r="M13" s="264" t="s">
        <v>163</v>
      </c>
      <c r="N13" s="25" t="str">
        <f t="shared" ca="1" si="0"/>
        <v xml:space="preserve"> </v>
      </c>
      <c r="O13" s="25" t="str">
        <f t="shared" ca="1" si="1"/>
        <v xml:space="preserve"> </v>
      </c>
    </row>
    <row r="14" spans="1:19" ht="15">
      <c r="C14" s="27" t="s">
        <v>25</v>
      </c>
      <c r="D14" s="36" t="s">
        <v>73</v>
      </c>
      <c r="E14" s="14">
        <f>SUMIFS(Master!$F$18:$AD$18,Master!$F$3:$AD$3,RESULT!$D14,Master!$F$4:$AD$4,RESULT!E$7)</f>
        <v>0</v>
      </c>
      <c r="F14" s="14">
        <f>SUMIFS(Master!$F$18:$AD$18,Master!$F$3:$AD$3,RESULT!$D14,Master!$F$4:$AD$4,RESULT!F$7)</f>
        <v>0</v>
      </c>
      <c r="G14" s="14">
        <f>VLOOKUP(C14&amp;D14,Master!$C$44:$F$55,MATCH(RESULT!$A$4,Master!$C$44:$F$44,0),FALSE)</f>
        <v>0</v>
      </c>
      <c r="H14" s="18">
        <f>IF($A$4=$P$3,$D$3*G14,IF(OR($A$4=$P$1,$A$4=$P$2),E14*G14,""))</f>
        <v>0</v>
      </c>
      <c r="I14" s="267">
        <f t="shared" si="2"/>
        <v>0</v>
      </c>
      <c r="J14" s="267">
        <f t="shared" si="3"/>
        <v>0</v>
      </c>
      <c r="K14" s="5"/>
      <c r="L14" s="3"/>
      <c r="M14" s="264" t="s">
        <v>60</v>
      </c>
      <c r="N14" s="25" t="str">
        <f t="shared" ca="1" si="0"/>
        <v xml:space="preserve"> </v>
      </c>
      <c r="O14" s="25" t="str">
        <f t="shared" ca="1" si="1"/>
        <v xml:space="preserve"> </v>
      </c>
    </row>
    <row r="15" spans="1:19" ht="15.75" thickBot="1">
      <c r="C15" s="27" t="s">
        <v>25</v>
      </c>
      <c r="D15" s="36" t="s">
        <v>74</v>
      </c>
      <c r="E15" s="14">
        <f>SUMIFS(Master!$F$18:$AD$18,Master!$F$3:$AD$3,RESULT!$D15,Master!$F$4:$AD$4,RESULT!E$7)</f>
        <v>0</v>
      </c>
      <c r="F15" s="14">
        <f>SUMIFS(Master!$F$18:$AD$18,Master!$F$3:$AD$3,RESULT!$D15,Master!$F$4:$AD$4,RESULT!F$7)</f>
        <v>0</v>
      </c>
      <c r="G15" s="14">
        <f>VLOOKUP(C15&amp;D15,Master!$C$44:$F$55,MATCH(RESULT!$A$4,Master!$C$44:$F$44,0),FALSE)</f>
        <v>0</v>
      </c>
      <c r="H15" s="18">
        <f>IF($A$4=$P$3,$D$3*G15,IF(OR($A$4=$P$1,$A$4=$P$2),E15*G15,""))</f>
        <v>0</v>
      </c>
      <c r="I15" s="267">
        <f t="shared" si="2"/>
        <v>0</v>
      </c>
      <c r="J15" s="267">
        <f t="shared" si="3"/>
        <v>0</v>
      </c>
      <c r="K15" s="5"/>
      <c r="L15" s="3"/>
      <c r="M15" s="258"/>
      <c r="N15" s="225"/>
      <c r="O15" s="225"/>
    </row>
    <row r="16" spans="1:19" ht="15.75" thickBot="1">
      <c r="C16" s="36" t="s">
        <v>26</v>
      </c>
      <c r="D16" s="36" t="s">
        <v>26</v>
      </c>
      <c r="E16" s="14">
        <f>SUMIFS(Master!$F$18:$AD$18,Master!$F$3:$AD$3,RESULT!$D16,Master!$F$4:$AD$4,RESULT!E$7)</f>
        <v>0</v>
      </c>
      <c r="F16" s="14">
        <f>SUMIFS(Master!$F$18:$AD$18,Master!$F$3:$AD$3,RESULT!$D16,Master!$F$4:$AD$4,RESULT!F$7)</f>
        <v>0</v>
      </c>
      <c r="G16" s="14">
        <f>VLOOKUP(C16&amp;D16,Master!$C$44:$F$55,MATCH(RESULT!$A$4,Master!$C$44:$F$44,0),FALSE)</f>
        <v>0</v>
      </c>
      <c r="H16" s="18">
        <f>IF($A$4=$P$3,$D$3*G16,IF(OR($A$4=$P$1,$A$4=$P$2),E16*G16,""))</f>
        <v>0</v>
      </c>
      <c r="I16" s="267">
        <f t="shared" si="2"/>
        <v>0</v>
      </c>
      <c r="J16" s="267">
        <f t="shared" si="3"/>
        <v>0</v>
      </c>
      <c r="K16" s="5"/>
      <c r="L16" s="3"/>
      <c r="M16" s="261" t="s">
        <v>62</v>
      </c>
      <c r="N16" s="262">
        <f ca="1">SUM(N3:N15)</f>
        <v>26</v>
      </c>
      <c r="O16" s="263">
        <f ca="1">SUM(O3:O15)</f>
        <v>2.8218000000000001</v>
      </c>
    </row>
    <row r="17" spans="3:22" ht="15">
      <c r="C17" s="36" t="s">
        <v>61</v>
      </c>
      <c r="D17" s="36" t="s">
        <v>61</v>
      </c>
      <c r="E17" s="14">
        <f>SUMIFS(Master!$F$18:$AD$18,Master!$F$3:$AD$3,RESULT!$D17,Master!$F$4:$AD$4,RESULT!E$7)</f>
        <v>0</v>
      </c>
      <c r="F17" s="14">
        <f>SUMIFS(Master!$F$18:$AD$18,Master!$F$3:$AD$3,RESULT!$D17,Master!$F$4:$AD$4,RESULT!F$7)</f>
        <v>0</v>
      </c>
      <c r="G17" s="14">
        <f>VLOOKUP(C17&amp;D17,Master!$C$44:$F$55,MATCH(RESULT!$A$4,Master!$C$44:$F$44,0),FALSE)</f>
        <v>0</v>
      </c>
      <c r="H17" s="18">
        <f>IF($A$4=$P$3,$D$3*G17,IF(OR($A$4=$P$1,$A$4=$P$2),E17*G17,""))</f>
        <v>0</v>
      </c>
      <c r="I17" s="267">
        <f t="shared" si="2"/>
        <v>0</v>
      </c>
      <c r="J17" s="267">
        <f t="shared" si="3"/>
        <v>0</v>
      </c>
      <c r="K17" s="4"/>
      <c r="L17" s="3"/>
    </row>
    <row r="18" spans="3:22" ht="15">
      <c r="C18" s="36" t="s">
        <v>75</v>
      </c>
      <c r="D18" s="36" t="s">
        <v>75</v>
      </c>
      <c r="E18" s="14">
        <f>SUMIFS(Master!$F$18:$AD$18,Master!$F$3:$AD$3,RESULT!$D18,Master!$F$4:$AD$4,RESULT!E$7)</f>
        <v>0</v>
      </c>
      <c r="F18" s="14">
        <f>SUMIFS(Master!$F$18:$AD$18,Master!$F$3:$AD$3,RESULT!$D18,Master!$F$4:$AD$4,RESULT!F$7)</f>
        <v>0</v>
      </c>
      <c r="G18" s="14">
        <f>VLOOKUP(C18&amp;D18,Master!$C$44:$F$55,MATCH(RESULT!$A$4,Master!$C$44:$F$44,0),FALSE)</f>
        <v>0</v>
      </c>
      <c r="H18" s="18">
        <f>IF($A$4=$P$3,$D$3*G18,IF(OR($A$4=$P$1,$A$4=$P$2),E18*G18,""))</f>
        <v>0</v>
      </c>
      <c r="I18" s="267">
        <f t="shared" si="2"/>
        <v>0</v>
      </c>
      <c r="J18" s="267">
        <f t="shared" si="3"/>
        <v>0</v>
      </c>
      <c r="K18" s="4"/>
      <c r="L18" s="3"/>
      <c r="M18" s="273" t="s">
        <v>170</v>
      </c>
    </row>
    <row r="19" spans="3:22" ht="16.5" thickBot="1">
      <c r="C19" s="119" t="s">
        <v>62</v>
      </c>
      <c r="D19" s="120"/>
      <c r="E19" s="114">
        <f>SUM(E8:E18)</f>
        <v>2890</v>
      </c>
      <c r="F19" s="114">
        <f>SUM(F8:F18)</f>
        <v>305</v>
      </c>
      <c r="G19" s="114">
        <f>+H19/E19</f>
        <v>247.05467128027681</v>
      </c>
      <c r="H19" s="114">
        <f>SUM(H8:H18)</f>
        <v>713988</v>
      </c>
      <c r="I19" s="115">
        <f t="shared" si="2"/>
        <v>100</v>
      </c>
      <c r="J19" s="115">
        <f t="shared" si="3"/>
        <v>100</v>
      </c>
      <c r="K19" s="7"/>
      <c r="L19" s="3"/>
      <c r="M19" s="259" t="s">
        <v>38</v>
      </c>
      <c r="N19" s="260" t="s">
        <v>77</v>
      </c>
      <c r="O19" s="260" t="s">
        <v>78</v>
      </c>
    </row>
    <row r="20" spans="3:22" ht="15.75" thickBot="1">
      <c r="D20" s="31" t="s">
        <v>63</v>
      </c>
      <c r="E20" s="61">
        <f>+D4</f>
        <v>732</v>
      </c>
      <c r="F20" s="62">
        <f>IFERROR(VLOOKUP($A$4,Master!$A$65:$B$68,2,FALSE),0)</f>
        <v>0</v>
      </c>
      <c r="G20" s="63"/>
      <c r="H20" s="62">
        <f>+E20*F20</f>
        <v>0</v>
      </c>
      <c r="I20" s="10"/>
      <c r="J20" s="10"/>
      <c r="K20" s="4"/>
      <c r="L20" s="3"/>
      <c r="M20" s="264" t="s">
        <v>44</v>
      </c>
      <c r="N20" s="25" t="str">
        <f t="shared" ref="N20:N31" ca="1" si="4">IFERROR(_xlfn.IFNA(VLOOKUP($M3,INDIRECT("'"&amp;$M$18&amp;"'!A:Z"),3,FALSE)," "),"Something Not Good")</f>
        <v xml:space="preserve"> </v>
      </c>
      <c r="O20" s="25" t="str">
        <f t="shared" ref="O20:O31" ca="1" si="5">IFERROR(_xlfn.IFNA(VLOOKUP($M3,INDIRECT("'"&amp;$M$18&amp;"'!A:Z"),5,FALSE)," "),"Something Not Good")</f>
        <v xml:space="preserve"> </v>
      </c>
    </row>
    <row r="21" spans="3:22" s="76" customFormat="1" ht="15.75" thickBot="1">
      <c r="C21" s="71" t="s">
        <v>110</v>
      </c>
      <c r="D21" s="72"/>
      <c r="E21" s="68"/>
      <c r="F21" s="69"/>
      <c r="G21" s="70"/>
      <c r="H21" s="69">
        <f>+H19+H20</f>
        <v>713988</v>
      </c>
      <c r="I21" s="73"/>
      <c r="J21" s="73"/>
      <c r="K21" s="74"/>
      <c r="L21" s="8"/>
      <c r="M21" s="264" t="s">
        <v>45</v>
      </c>
      <c r="N21" s="25">
        <f t="shared" ca="1" si="4"/>
        <v>20</v>
      </c>
      <c r="O21" s="25">
        <f t="shared" ca="1" si="5"/>
        <v>8.7999999999999995E-2</v>
      </c>
      <c r="P21"/>
      <c r="Q21"/>
      <c r="R21"/>
      <c r="S21"/>
      <c r="T21"/>
      <c r="U21"/>
      <c r="V21"/>
    </row>
    <row r="22" spans="3:22" ht="15">
      <c r="D22" s="77" t="s">
        <v>64</v>
      </c>
      <c r="E22" s="93">
        <f>+E19/D3</f>
        <v>8.904911567141184</v>
      </c>
      <c r="F22" s="78">
        <f>F19/D3%</f>
        <v>93.979170518272014</v>
      </c>
      <c r="G22" s="78"/>
      <c r="H22" s="79"/>
      <c r="I22" s="80"/>
      <c r="J22" s="80"/>
      <c r="K22" s="3"/>
      <c r="L22" s="3"/>
      <c r="M22" s="264" t="s">
        <v>46</v>
      </c>
      <c r="N22" s="25" t="str">
        <f t="shared" ca="1" si="4"/>
        <v xml:space="preserve"> </v>
      </c>
      <c r="O22" s="25" t="str">
        <f t="shared" ca="1" si="5"/>
        <v xml:space="preserve"> </v>
      </c>
    </row>
    <row r="23" spans="3:22" ht="15.75" thickBot="1">
      <c r="D23" s="81" t="s">
        <v>65</v>
      </c>
      <c r="E23" s="94">
        <f>+H21/E19</f>
        <v>247.05467128027681</v>
      </c>
      <c r="F23" s="82">
        <f>+H21/D3</f>
        <v>2200</v>
      </c>
      <c r="G23" s="82"/>
      <c r="H23" s="83"/>
      <c r="I23" s="84"/>
      <c r="J23" s="84"/>
      <c r="K23" s="3"/>
      <c r="L23" s="75"/>
      <c r="M23" s="264" t="s">
        <v>58</v>
      </c>
      <c r="N23" s="25" t="str">
        <f t="shared" ca="1" si="4"/>
        <v xml:space="preserve"> </v>
      </c>
      <c r="O23" s="25" t="str">
        <f t="shared" ca="1" si="5"/>
        <v xml:space="preserve"> </v>
      </c>
      <c r="P23" s="76"/>
      <c r="Q23" s="76"/>
      <c r="R23" s="76"/>
      <c r="S23" s="76"/>
      <c r="T23" s="76"/>
      <c r="U23" s="76"/>
      <c r="V23" s="76"/>
    </row>
    <row r="24" spans="3:22" s="43" customFormat="1" ht="15.75" thickBot="1">
      <c r="C24" s="64"/>
      <c r="D24" s="65"/>
      <c r="E24" s="30"/>
      <c r="F24" s="66"/>
      <c r="G24" s="66"/>
      <c r="H24" s="30"/>
      <c r="I24" s="67"/>
      <c r="J24" s="30"/>
      <c r="K24" s="64"/>
      <c r="L24"/>
      <c r="M24" s="264" t="s">
        <v>59</v>
      </c>
      <c r="N24" s="25" t="str">
        <f t="shared" ca="1" si="4"/>
        <v xml:space="preserve"> </v>
      </c>
      <c r="O24" s="25" t="str">
        <f t="shared" ca="1" si="5"/>
        <v xml:space="preserve"> </v>
      </c>
      <c r="P24"/>
      <c r="Q24"/>
      <c r="R24"/>
      <c r="S24"/>
      <c r="T24"/>
      <c r="U24"/>
      <c r="V24"/>
    </row>
    <row r="25" spans="3:22" ht="24.75" thickBot="1">
      <c r="C25" s="142" t="s">
        <v>91</v>
      </c>
      <c r="D25" s="143" t="s">
        <v>114</v>
      </c>
      <c r="E25" s="131" t="s">
        <v>82</v>
      </c>
      <c r="F25" s="141" t="s">
        <v>83</v>
      </c>
      <c r="G25" s="141" t="s">
        <v>79</v>
      </c>
      <c r="H25" s="141" t="s">
        <v>95</v>
      </c>
      <c r="I25" s="144" t="s">
        <v>88</v>
      </c>
      <c r="J25" s="144" t="s">
        <v>117</v>
      </c>
      <c r="M25" s="264" t="s">
        <v>48</v>
      </c>
      <c r="N25" s="25" t="str">
        <f t="shared" ca="1" si="4"/>
        <v xml:space="preserve"> </v>
      </c>
      <c r="O25" s="25" t="str">
        <f t="shared" ca="1" si="5"/>
        <v xml:space="preserve"> </v>
      </c>
    </row>
    <row r="26" spans="3:22" ht="15">
      <c r="C26" s="86" t="s">
        <v>25</v>
      </c>
      <c r="D26" s="87" t="s">
        <v>25</v>
      </c>
      <c r="E26" s="92">
        <f t="shared" ref="E26:F36" si="6">+E8+E44</f>
        <v>200</v>
      </c>
      <c r="F26" s="92">
        <f t="shared" si="6"/>
        <v>60</v>
      </c>
      <c r="G26" s="92">
        <f>VLOOKUP(C26&amp;D26,Master!$C$44:$F$55,MATCH(RESULT!$A$4,Master!$C$44:$F$44,0),FALSE)</f>
        <v>2200</v>
      </c>
      <c r="H26" s="12">
        <f>IF($A$4=$P$3,F26*G26,IF(OR($A$4=$P$1,$A$4=$P$2),E26*G26,""))</f>
        <v>132000</v>
      </c>
      <c r="I26" s="268">
        <f>+E26/$E$37*100</f>
        <v>3.4602076124567476</v>
      </c>
      <c r="J26" s="88">
        <f>+F26/$F$37*100</f>
        <v>9.8360655737704921</v>
      </c>
      <c r="L26" s="43"/>
      <c r="M26" s="264" t="s">
        <v>49</v>
      </c>
      <c r="N26" s="25" t="str">
        <f t="shared" ca="1" si="4"/>
        <v xml:space="preserve"> </v>
      </c>
      <c r="O26" s="25" t="str">
        <f t="shared" ca="1" si="5"/>
        <v xml:space="preserve"> </v>
      </c>
      <c r="P26" s="43"/>
      <c r="Q26" s="43"/>
      <c r="R26" s="43"/>
      <c r="S26" s="43"/>
      <c r="T26" s="43"/>
      <c r="U26" s="43"/>
      <c r="V26" s="43"/>
    </row>
    <row r="27" spans="3:22" ht="15">
      <c r="C27" s="89" t="s">
        <v>25</v>
      </c>
      <c r="D27" s="36" t="s">
        <v>68</v>
      </c>
      <c r="E27" s="14">
        <f t="shared" si="6"/>
        <v>30</v>
      </c>
      <c r="F27" s="14">
        <f t="shared" si="6"/>
        <v>100</v>
      </c>
      <c r="G27" s="14">
        <f>VLOOKUP(C27&amp;D27,Master!$C$44:$F$55,MATCH(RESULT!$A$4,Master!$C$44:$F$44,0),FALSE)</f>
        <v>0</v>
      </c>
      <c r="H27" s="18">
        <f>IF($A$4=$P$3,F27*G27,IF(OR($A$4=$P$1,$A$4=$P$2),E27*G27,""))</f>
        <v>0</v>
      </c>
      <c r="I27" s="267">
        <f t="shared" ref="I27:I37" si="7">+E27/$E$37*100</f>
        <v>0.51903114186851207</v>
      </c>
      <c r="J27" s="90">
        <f t="shared" ref="J27:J37" si="8">+F27/$F$37*100</f>
        <v>16.393442622950818</v>
      </c>
      <c r="M27" s="264" t="s">
        <v>50</v>
      </c>
      <c r="N27" s="25" t="str">
        <f t="shared" ca="1" si="4"/>
        <v xml:space="preserve"> </v>
      </c>
      <c r="O27" s="25" t="str">
        <f t="shared" ca="1" si="5"/>
        <v xml:space="preserve"> </v>
      </c>
    </row>
    <row r="28" spans="3:22" ht="15">
      <c r="C28" s="89" t="s">
        <v>25</v>
      </c>
      <c r="D28" s="36" t="s">
        <v>69</v>
      </c>
      <c r="E28" s="14">
        <f t="shared" si="6"/>
        <v>50</v>
      </c>
      <c r="F28" s="14">
        <f t="shared" si="6"/>
        <v>50</v>
      </c>
      <c r="G28" s="14">
        <f>VLOOKUP(C28&amp;D28,Master!$C$44:$F$55,MATCH(RESULT!$A$4,Master!$C$44:$F$44,0),FALSE)</f>
        <v>0</v>
      </c>
      <c r="H28" s="18">
        <f>IF($A$4=$P$3,F28*G28,IF(OR($A$4=$P$1,$A$4=$P$2),E28*G28,""))</f>
        <v>0</v>
      </c>
      <c r="I28" s="267">
        <f t="shared" si="7"/>
        <v>0.86505190311418689</v>
      </c>
      <c r="J28" s="90">
        <f t="shared" si="8"/>
        <v>8.1967213114754092</v>
      </c>
      <c r="M28" s="264" t="s">
        <v>54</v>
      </c>
      <c r="N28" s="25" t="str">
        <f t="shared" ca="1" si="4"/>
        <v xml:space="preserve"> </v>
      </c>
      <c r="O28" s="25" t="str">
        <f t="shared" ca="1" si="5"/>
        <v xml:space="preserve"> </v>
      </c>
    </row>
    <row r="29" spans="3:22" ht="15">
      <c r="C29" s="89" t="s">
        <v>25</v>
      </c>
      <c r="D29" s="36" t="s">
        <v>70</v>
      </c>
      <c r="E29" s="14">
        <f t="shared" si="6"/>
        <v>2000</v>
      </c>
      <c r="F29" s="14">
        <f t="shared" si="6"/>
        <v>150</v>
      </c>
      <c r="G29" s="14">
        <f>VLOOKUP(C29&amp;D29,Master!$C$44:$F$55,MATCH(RESULT!$A$4,Master!$C$44:$F$44,0),FALSE)</f>
        <v>0</v>
      </c>
      <c r="H29" s="18">
        <f>IF($A$4=$P$3,F29*G29,IF(OR($A$4=$P$1,$A$4=$P$2),E29*G29,""))</f>
        <v>0</v>
      </c>
      <c r="I29" s="267">
        <f t="shared" si="7"/>
        <v>34.602076124567475</v>
      </c>
      <c r="J29" s="90">
        <f t="shared" si="8"/>
        <v>24.590163934426229</v>
      </c>
      <c r="M29" s="264" t="s">
        <v>51</v>
      </c>
      <c r="N29" s="25" t="str">
        <f t="shared" ca="1" si="4"/>
        <v xml:space="preserve"> </v>
      </c>
      <c r="O29" s="25" t="str">
        <f t="shared" ca="1" si="5"/>
        <v xml:space="preserve"> </v>
      </c>
    </row>
    <row r="30" spans="3:22" ht="15">
      <c r="C30" s="89" t="s">
        <v>25</v>
      </c>
      <c r="D30" s="36" t="s">
        <v>71</v>
      </c>
      <c r="E30" s="14">
        <f t="shared" si="6"/>
        <v>1800</v>
      </c>
      <c r="F30" s="14">
        <f t="shared" si="6"/>
        <v>120</v>
      </c>
      <c r="G30" s="14">
        <f>VLOOKUP(C30&amp;D30,Master!$C$44:$F$55,MATCH(RESULT!$A$4,Master!$C$44:$F$44,0),FALSE)</f>
        <v>0</v>
      </c>
      <c r="H30" s="18">
        <f>IF($A$4=$P$3,F30*G30,IF(OR($A$4=$P$1,$A$4=$P$2),E30*G30,""))</f>
        <v>0</v>
      </c>
      <c r="I30" s="267">
        <f t="shared" si="7"/>
        <v>31.141868512110726</v>
      </c>
      <c r="J30" s="90">
        <f t="shared" si="8"/>
        <v>19.672131147540984</v>
      </c>
      <c r="M30" s="264" t="s">
        <v>163</v>
      </c>
      <c r="N30" s="25" t="str">
        <f t="shared" ca="1" si="4"/>
        <v xml:space="preserve"> </v>
      </c>
      <c r="O30" s="25" t="str">
        <f t="shared" ca="1" si="5"/>
        <v xml:space="preserve"> </v>
      </c>
    </row>
    <row r="31" spans="3:22" ht="15">
      <c r="C31" s="89" t="s">
        <v>25</v>
      </c>
      <c r="D31" s="36" t="s">
        <v>72</v>
      </c>
      <c r="E31" s="14">
        <f t="shared" si="6"/>
        <v>1700</v>
      </c>
      <c r="F31" s="14">
        <f t="shared" si="6"/>
        <v>130</v>
      </c>
      <c r="G31" s="14">
        <f>VLOOKUP(C31&amp;D31,Master!$C$44:$F$55,MATCH(RESULT!$A$4,Master!$C$44:$F$44,0),FALSE)</f>
        <v>0</v>
      </c>
      <c r="H31" s="18">
        <f>IF($A$4=$P$3,F31*G31,IF(OR($A$4=$P$1,$A$4=$P$2),E31*G31,""))</f>
        <v>0</v>
      </c>
      <c r="I31" s="267">
        <f t="shared" si="7"/>
        <v>29.411764705882355</v>
      </c>
      <c r="J31" s="90">
        <f t="shared" si="8"/>
        <v>21.311475409836063</v>
      </c>
      <c r="M31" s="264" t="s">
        <v>60</v>
      </c>
      <c r="N31" s="25" t="str">
        <f t="shared" ca="1" si="4"/>
        <v xml:space="preserve"> </v>
      </c>
      <c r="O31" s="25" t="str">
        <f t="shared" ca="1" si="5"/>
        <v xml:space="preserve"> </v>
      </c>
    </row>
    <row r="32" spans="3:22" ht="15.75" thickBot="1">
      <c r="C32" s="89" t="s">
        <v>25</v>
      </c>
      <c r="D32" s="36" t="s">
        <v>73</v>
      </c>
      <c r="E32" s="14">
        <f t="shared" si="6"/>
        <v>0</v>
      </c>
      <c r="F32" s="14">
        <f t="shared" si="6"/>
        <v>0</v>
      </c>
      <c r="G32" s="14">
        <f>VLOOKUP(C32&amp;D32,Master!$C$44:$F$55,MATCH(RESULT!$A$4,Master!$C$44:$F$44,0),FALSE)</f>
        <v>0</v>
      </c>
      <c r="H32" s="18">
        <f>IF($A$4=$P$3,F32*G32,IF(OR($A$4=$P$1,$A$4=$P$2),E32*G32,""))</f>
        <v>0</v>
      </c>
      <c r="I32" s="267">
        <f t="shared" si="7"/>
        <v>0</v>
      </c>
      <c r="J32" s="90">
        <f t="shared" si="8"/>
        <v>0</v>
      </c>
      <c r="M32" s="258"/>
      <c r="N32" s="25" t="str">
        <f t="shared" ref="N32" ca="1" si="9">IFERROR(_xlfn.IFNA(VLOOKUP($M15,INDIRECT("'"&amp;$M$18&amp;"'!A:Z"),2,FALSE)," "),"Something Not Good")</f>
        <v xml:space="preserve"> </v>
      </c>
      <c r="O32" s="25" t="str">
        <f t="shared" ref="O32" ca="1" si="10">IFERROR(_xlfn.IFNA(VLOOKUP($M15,INDIRECT("'"&amp;$M$18&amp;"'!A:Z"),4,FALSE)," "),"Something Not Good")</f>
        <v xml:space="preserve"> </v>
      </c>
    </row>
    <row r="33" spans="3:15" ht="15.75" thickBot="1">
      <c r="C33" s="89" t="s">
        <v>25</v>
      </c>
      <c r="D33" s="36" t="s">
        <v>74</v>
      </c>
      <c r="E33" s="14">
        <f t="shared" si="6"/>
        <v>0</v>
      </c>
      <c r="F33" s="14">
        <f t="shared" si="6"/>
        <v>0</v>
      </c>
      <c r="G33" s="14">
        <f>VLOOKUP(C33&amp;D33,Master!$C$44:$F$55,MATCH(RESULT!$A$4,Master!$C$44:$F$44,0),FALSE)</f>
        <v>0</v>
      </c>
      <c r="H33" s="18">
        <f>IF($A$4=$P$3,F33*G33,IF(OR($A$4=$P$1,$A$4=$P$2),E33*G33,""))</f>
        <v>0</v>
      </c>
      <c r="I33" s="267">
        <f t="shared" si="7"/>
        <v>0</v>
      </c>
      <c r="J33" s="90">
        <f t="shared" si="8"/>
        <v>0</v>
      </c>
      <c r="M33" s="261"/>
      <c r="N33" s="262">
        <f ca="1">SUM(N20:N32)</f>
        <v>20</v>
      </c>
      <c r="O33" s="263">
        <f ca="1">SUM(O20:O32)</f>
        <v>8.7999999999999995E-2</v>
      </c>
    </row>
    <row r="34" spans="3:15" ht="15">
      <c r="C34" s="91" t="s">
        <v>26</v>
      </c>
      <c r="D34" s="36" t="s">
        <v>26</v>
      </c>
      <c r="E34" s="14">
        <f t="shared" si="6"/>
        <v>0</v>
      </c>
      <c r="F34" s="14">
        <f t="shared" si="6"/>
        <v>0</v>
      </c>
      <c r="G34" s="14">
        <f>VLOOKUP(C34&amp;D34,Master!$C$44:$F$55,MATCH(RESULT!$A$4,Master!$C$44:$F$44,0),FALSE)</f>
        <v>0</v>
      </c>
      <c r="H34" s="18">
        <f>IF($A$4=$P$3,F34*G34,IF(OR($A$4=$P$1,$A$4=$P$2),E34*G34,""))</f>
        <v>0</v>
      </c>
      <c r="I34" s="267">
        <f t="shared" si="7"/>
        <v>0</v>
      </c>
      <c r="J34" s="90">
        <f t="shared" si="8"/>
        <v>0</v>
      </c>
    </row>
    <row r="35" spans="3:15" ht="15">
      <c r="C35" s="91" t="s">
        <v>61</v>
      </c>
      <c r="D35" s="36" t="s">
        <v>61</v>
      </c>
      <c r="E35" s="14">
        <f t="shared" si="6"/>
        <v>0</v>
      </c>
      <c r="F35" s="14">
        <f t="shared" si="6"/>
        <v>0</v>
      </c>
      <c r="G35" s="14">
        <f>VLOOKUP(C35&amp;D35,Master!$C$44:$F$55,MATCH(RESULT!$A$4,Master!$C$44:$F$44,0),FALSE)</f>
        <v>0</v>
      </c>
      <c r="H35" s="18">
        <f>IF($A$4=$P$3,F35*G35,IF(OR($A$4=$P$1,$A$4=$P$2),E35*G35,""))</f>
        <v>0</v>
      </c>
      <c r="I35" s="267">
        <f t="shared" si="7"/>
        <v>0</v>
      </c>
      <c r="J35" s="90">
        <f t="shared" si="8"/>
        <v>0</v>
      </c>
    </row>
    <row r="36" spans="3:15" ht="15.75" thickBot="1">
      <c r="C36" s="121" t="s">
        <v>75</v>
      </c>
      <c r="D36" s="122" t="s">
        <v>75</v>
      </c>
      <c r="E36" s="15">
        <f t="shared" si="6"/>
        <v>0</v>
      </c>
      <c r="F36" s="15">
        <f t="shared" si="6"/>
        <v>0</v>
      </c>
      <c r="G36" s="15">
        <f>VLOOKUP(C36&amp;D36,Master!$C$44:$F$55,MATCH(RESULT!$A$4,Master!$C$44:$F$44,0),FALSE)</f>
        <v>0</v>
      </c>
      <c r="H36" s="50">
        <f>IF($A$4=$P$3,F36*G36,IF(OR($A$4=$P$1,$A$4=$P$2),E36*G36,""))</f>
        <v>0</v>
      </c>
      <c r="I36" s="269">
        <f t="shared" si="7"/>
        <v>0</v>
      </c>
      <c r="J36" s="123">
        <f t="shared" si="8"/>
        <v>0</v>
      </c>
    </row>
    <row r="37" spans="3:15" ht="16.5" thickBot="1">
      <c r="C37" s="132" t="s">
        <v>62</v>
      </c>
      <c r="D37" s="133"/>
      <c r="E37" s="134">
        <f>SUM(E26:E36)</f>
        <v>5780</v>
      </c>
      <c r="F37" s="134">
        <f>SUM(F26:F36)</f>
        <v>610</v>
      </c>
      <c r="G37" s="134">
        <f>+H37/E37</f>
        <v>22.837370242214533</v>
      </c>
      <c r="H37" s="134">
        <f>SUM(H26:H36)</f>
        <v>132000</v>
      </c>
      <c r="I37" s="135">
        <f t="shared" si="7"/>
        <v>100</v>
      </c>
      <c r="J37" s="135">
        <f t="shared" si="8"/>
        <v>100</v>
      </c>
    </row>
    <row r="38" spans="3:15" ht="15.75" thickBot="1">
      <c r="D38" s="31" t="s">
        <v>63</v>
      </c>
      <c r="E38" s="61">
        <f>+D4</f>
        <v>732</v>
      </c>
      <c r="F38" s="62">
        <f>IFERROR(VLOOKUP($A$4,Master!$A$65:$B$68,2,FALSE),0)</f>
        <v>0</v>
      </c>
      <c r="G38" s="63"/>
      <c r="H38" s="62">
        <f>+E38*F38</f>
        <v>0</v>
      </c>
      <c r="I38" s="10"/>
      <c r="J38" s="10"/>
    </row>
    <row r="39" spans="3:15" ht="15.75" thickBot="1">
      <c r="C39" s="97" t="s">
        <v>110</v>
      </c>
      <c r="D39" s="98"/>
      <c r="E39" s="99"/>
      <c r="F39" s="100"/>
      <c r="G39" s="101"/>
      <c r="H39" s="100">
        <f>+H37+H38</f>
        <v>132000</v>
      </c>
      <c r="I39" s="102"/>
      <c r="J39" s="102"/>
    </row>
    <row r="40" spans="3:15" ht="15">
      <c r="D40" s="103" t="s">
        <v>64</v>
      </c>
      <c r="E40" s="104">
        <f>+E37/D3</f>
        <v>17.809823134282368</v>
      </c>
      <c r="F40" s="105">
        <f>+F37/D3%</f>
        <v>187.95834103654403</v>
      </c>
      <c r="G40" s="105"/>
      <c r="H40" s="106"/>
      <c r="I40" s="107"/>
      <c r="J40" s="107"/>
    </row>
    <row r="41" spans="3:15" ht="15.75" thickBot="1">
      <c r="D41" s="108" t="s">
        <v>65</v>
      </c>
      <c r="E41" s="109">
        <f>+H39/E37</f>
        <v>22.837370242214533</v>
      </c>
      <c r="F41" s="110">
        <f>+H39/D3</f>
        <v>406.72952486596409</v>
      </c>
      <c r="G41" s="110"/>
      <c r="H41" s="111"/>
      <c r="I41" s="112"/>
      <c r="J41" s="112"/>
    </row>
    <row r="42" spans="3:15" ht="15.75" thickBot="1">
      <c r="D42" s="9"/>
      <c r="E42" s="10"/>
      <c r="F42" s="11"/>
      <c r="G42" s="16"/>
      <c r="H42" s="17"/>
    </row>
    <row r="43" spans="3:15" ht="22.5" customHeight="1" thickBot="1">
      <c r="C43" s="138" t="s">
        <v>91</v>
      </c>
      <c r="D43" s="139" t="s">
        <v>113</v>
      </c>
      <c r="E43" s="113" t="s">
        <v>82</v>
      </c>
      <c r="F43" s="137" t="s">
        <v>83</v>
      </c>
      <c r="G43" s="137" t="s">
        <v>79</v>
      </c>
      <c r="H43" s="137" t="s">
        <v>95</v>
      </c>
      <c r="I43" s="140" t="s">
        <v>88</v>
      </c>
      <c r="J43" s="140" t="s">
        <v>117</v>
      </c>
    </row>
    <row r="44" spans="3:15" ht="15">
      <c r="C44" s="86" t="s">
        <v>25</v>
      </c>
      <c r="D44" s="87" t="s">
        <v>25</v>
      </c>
      <c r="E44" s="92">
        <f>SUMIFS(Master!$F$38:$AD$38,Master!$F$24:$AD$24,RESULT!$E$43,Master!$F$23:$AD$23,RESULT!$D44)</f>
        <v>100</v>
      </c>
      <c r="F44" s="92">
        <f>SUMIFS(Master!$F$38:$AD$38,Master!$F$24:$AD$24,RESULT!$F$43,Master!$F$23:$AD$23,RESULT!$D44)</f>
        <v>30</v>
      </c>
      <c r="G44" s="92">
        <f>VLOOKUP(C44&amp;D44,Master!$C$44:$F$55,MATCH(RESULT!$A$4,Master!$C$44:$F$44,0),FALSE)</f>
        <v>2200</v>
      </c>
      <c r="H44" s="12">
        <f>IF($A$4=$P$3,F44*G44,IF(OR($A$4=$P$1,$A$4=$P$2),E44*G44,""))</f>
        <v>66000</v>
      </c>
      <c r="I44" s="268">
        <f>+$E44/$E$55*100</f>
        <v>3.4602076124567476</v>
      </c>
      <c r="J44" s="88">
        <f>+F44/$F$55*100</f>
        <v>9.8360655737704921</v>
      </c>
    </row>
    <row r="45" spans="3:15" ht="15">
      <c r="C45" s="89" t="s">
        <v>25</v>
      </c>
      <c r="D45" s="36" t="s">
        <v>68</v>
      </c>
      <c r="E45" s="14">
        <f>SUMIFS(Master!$F$38:$AD$38,Master!$F$24:$AD$24,RESULT!$E$43,Master!$F$23:$AD$23,RESULT!$D45)</f>
        <v>15</v>
      </c>
      <c r="F45" s="14">
        <f>SUMIFS(Master!$F$38:$AD$38,Master!$F$24:$AD$24,RESULT!$F$43,Master!$F$23:$AD$23,RESULT!$D45)</f>
        <v>50</v>
      </c>
      <c r="G45" s="14">
        <f>VLOOKUP(C45&amp;D45,Master!$C$44:$F$55,MATCH(RESULT!$A$4,Master!$C$44:$F$44,0),FALSE)</f>
        <v>0</v>
      </c>
      <c r="H45" s="18">
        <f>IF($A$4=$P$3,F45*G45,IF(OR($A$4=$P$1,$A$4=$P$2),E45*G45,""))</f>
        <v>0</v>
      </c>
      <c r="I45" s="267">
        <f t="shared" ref="I45:I55" si="11">+$E45/$E$55*100</f>
        <v>0.51903114186851207</v>
      </c>
      <c r="J45" s="90">
        <f t="shared" ref="J45:J55" si="12">+F45/$F$55*100</f>
        <v>16.393442622950818</v>
      </c>
    </row>
    <row r="46" spans="3:15" ht="15">
      <c r="C46" s="89" t="s">
        <v>25</v>
      </c>
      <c r="D46" s="36" t="s">
        <v>69</v>
      </c>
      <c r="E46" s="14">
        <f>SUMIFS(Master!$F$38:$AD$38,Master!$F$24:$AD$24,RESULT!$E$43,Master!$F$23:$AD$23,RESULT!$D46)</f>
        <v>25</v>
      </c>
      <c r="F46" s="14">
        <f>SUMIFS(Master!$F$38:$AD$38,Master!$F$24:$AD$24,RESULT!$F$43,Master!$F$23:$AD$23,RESULT!$D46)</f>
        <v>25</v>
      </c>
      <c r="G46" s="14">
        <f>VLOOKUP(C46&amp;D46,Master!$C$44:$F$55,MATCH(RESULT!$A$4,Master!$C$44:$F$44,0),FALSE)</f>
        <v>0</v>
      </c>
      <c r="H46" s="18">
        <f>IF($A$4=$P$3,F46*G46,IF(OR($A$4=$P$1,$A$4=$P$2),E46*G46,""))</f>
        <v>0</v>
      </c>
      <c r="I46" s="267">
        <f t="shared" si="11"/>
        <v>0.86505190311418689</v>
      </c>
      <c r="J46" s="90">
        <f t="shared" si="12"/>
        <v>8.1967213114754092</v>
      </c>
    </row>
    <row r="47" spans="3:15" ht="15">
      <c r="C47" s="89" t="s">
        <v>25</v>
      </c>
      <c r="D47" s="36" t="s">
        <v>70</v>
      </c>
      <c r="E47" s="14">
        <f>SUMIFS(Master!$F$38:$AD$38,Master!$F$24:$AD$24,RESULT!$E$43,Master!$F$23:$AD$23,RESULT!$D47)</f>
        <v>1000</v>
      </c>
      <c r="F47" s="14">
        <f>SUMIFS(Master!$F$38:$AD$38,Master!$F$24:$AD$24,RESULT!$F$43,Master!$F$23:$AD$23,RESULT!$D47)</f>
        <v>75</v>
      </c>
      <c r="G47" s="14">
        <f>VLOOKUP(C47&amp;D47,Master!$C$44:$F$55,MATCH(RESULT!$A$4,Master!$C$44:$F$44,0),FALSE)</f>
        <v>0</v>
      </c>
      <c r="H47" s="18">
        <f>IF($A$4=$P$3,F47*G47,IF(OR($A$4=$P$1,$A$4=$P$2),E47*G47,""))</f>
        <v>0</v>
      </c>
      <c r="I47" s="267">
        <f t="shared" si="11"/>
        <v>34.602076124567475</v>
      </c>
      <c r="J47" s="90">
        <f t="shared" si="12"/>
        <v>24.590163934426229</v>
      </c>
    </row>
    <row r="48" spans="3:15" ht="15">
      <c r="C48" s="89" t="s">
        <v>25</v>
      </c>
      <c r="D48" s="36" t="s">
        <v>71</v>
      </c>
      <c r="E48" s="14">
        <f>SUMIFS(Master!$F$38:$AD$38,Master!$F$24:$AD$24,RESULT!$E$43,Master!$F$23:$AD$23,RESULT!$D48)</f>
        <v>900</v>
      </c>
      <c r="F48" s="14">
        <f>SUMIFS(Master!$F$38:$AD$38,Master!$F$24:$AD$24,RESULT!$F$43,Master!$F$23:$AD$23,RESULT!$D48)</f>
        <v>60</v>
      </c>
      <c r="G48" s="14">
        <f>VLOOKUP(C48&amp;D48,Master!$C$44:$F$55,MATCH(RESULT!$A$4,Master!$C$44:$F$44,0),FALSE)</f>
        <v>0</v>
      </c>
      <c r="H48" s="18">
        <f>IF($A$4=$P$3,F48*G48,IF(OR($A$4=$P$1,$A$4=$P$2),E48*G48,""))</f>
        <v>0</v>
      </c>
      <c r="I48" s="267">
        <f t="shared" si="11"/>
        <v>31.141868512110726</v>
      </c>
      <c r="J48" s="90">
        <f t="shared" si="12"/>
        <v>19.672131147540984</v>
      </c>
    </row>
    <row r="49" spans="3:10" ht="15">
      <c r="C49" s="89" t="s">
        <v>25</v>
      </c>
      <c r="D49" s="36" t="s">
        <v>72</v>
      </c>
      <c r="E49" s="14">
        <f>SUMIFS(Master!$F$38:$AD$38,Master!$F$24:$AD$24,RESULT!$E$43,Master!$F$23:$AD$23,RESULT!$D49)</f>
        <v>850</v>
      </c>
      <c r="F49" s="14">
        <f>SUMIFS(Master!$F$38:$AD$38,Master!$F$24:$AD$24,RESULT!$F$43,Master!$F$23:$AD$23,RESULT!$D49)</f>
        <v>65</v>
      </c>
      <c r="G49" s="14">
        <f>VLOOKUP(C49&amp;D49,Master!$C$44:$F$55,MATCH(RESULT!$A$4,Master!$C$44:$F$44,0),FALSE)</f>
        <v>0</v>
      </c>
      <c r="H49" s="18">
        <f>IF($A$4=$P$3,F49*G49,IF(OR($A$4=$P$1,$A$4=$P$2),E49*G49,""))</f>
        <v>0</v>
      </c>
      <c r="I49" s="267">
        <f t="shared" si="11"/>
        <v>29.411764705882355</v>
      </c>
      <c r="J49" s="90">
        <f t="shared" si="12"/>
        <v>21.311475409836063</v>
      </c>
    </row>
    <row r="50" spans="3:10" ht="15">
      <c r="C50" s="89" t="s">
        <v>25</v>
      </c>
      <c r="D50" s="36" t="s">
        <v>73</v>
      </c>
      <c r="E50" s="14">
        <f>SUMIFS(Master!$F$38:$AD$38,Master!$F$24:$AD$24,RESULT!$E$43,Master!$F$23:$AD$23,RESULT!$D50)</f>
        <v>0</v>
      </c>
      <c r="F50" s="14">
        <f>SUMIFS(Master!$F$38:$AD$38,Master!$F$24:$AD$24,RESULT!$F$43,Master!$F$23:$AD$23,RESULT!$D50)</f>
        <v>0</v>
      </c>
      <c r="G50" s="14">
        <f>VLOOKUP(C50&amp;D50,Master!$C$44:$F$55,MATCH(RESULT!$A$4,Master!$C$44:$F$44,0),FALSE)</f>
        <v>0</v>
      </c>
      <c r="H50" s="18">
        <f>IF($A$4=$P$3,F50*G50,IF(OR($A$4=$P$1,$A$4=$P$2),E50*G50,""))</f>
        <v>0</v>
      </c>
      <c r="I50" s="267">
        <f t="shared" si="11"/>
        <v>0</v>
      </c>
      <c r="J50" s="90">
        <f t="shared" si="12"/>
        <v>0</v>
      </c>
    </row>
    <row r="51" spans="3:10" ht="15">
      <c r="C51" s="89" t="s">
        <v>25</v>
      </c>
      <c r="D51" s="36" t="s">
        <v>74</v>
      </c>
      <c r="E51" s="14">
        <f>SUMIFS(Master!$F$38:$AD$38,Master!$F$24:$AD$24,RESULT!$E$43,Master!$F$23:$AD$23,RESULT!$D51)</f>
        <v>0</v>
      </c>
      <c r="F51" s="14">
        <f>SUMIFS(Master!$F$38:$AD$38,Master!$F$24:$AD$24,RESULT!$F$43,Master!$F$23:$AD$23,RESULT!$D51)</f>
        <v>0</v>
      </c>
      <c r="G51" s="14">
        <f>VLOOKUP(C51&amp;D51,Master!$C$44:$F$55,MATCH(RESULT!$A$4,Master!$C$44:$F$44,0),FALSE)</f>
        <v>0</v>
      </c>
      <c r="H51" s="18">
        <f>IF($A$4=$P$3,F51*G51,IF(OR($A$4=$P$1,$A$4=$P$2),E51*G51,""))</f>
        <v>0</v>
      </c>
      <c r="I51" s="267">
        <f t="shared" si="11"/>
        <v>0</v>
      </c>
      <c r="J51" s="90">
        <f t="shared" si="12"/>
        <v>0</v>
      </c>
    </row>
    <row r="52" spans="3:10" ht="15">
      <c r="C52" s="91" t="s">
        <v>26</v>
      </c>
      <c r="D52" s="36" t="s">
        <v>26</v>
      </c>
      <c r="E52" s="14">
        <f>SUMIFS(Master!$F$38:$AD$38,Master!$F$24:$AD$24,RESULT!$E$43,Master!$F$23:$AD$23,RESULT!$D52)</f>
        <v>0</v>
      </c>
      <c r="F52" s="14">
        <f>SUMIFS(Master!$F$38:$AD$38,Master!$F$24:$AD$24,RESULT!$F$43,Master!$F$23:$AD$23,RESULT!$D52)</f>
        <v>0</v>
      </c>
      <c r="G52" s="14">
        <f>VLOOKUP(C52&amp;D52,Master!$C$44:$F$55,MATCH(RESULT!$A$4,Master!$C$44:$F$44,0),FALSE)</f>
        <v>0</v>
      </c>
      <c r="H52" s="18">
        <f>IF($A$4=$P$3,F52*G52,IF(OR($A$4=$P$1,$A$4=$P$2),E52*G52,""))</f>
        <v>0</v>
      </c>
      <c r="I52" s="267">
        <f t="shared" si="11"/>
        <v>0</v>
      </c>
      <c r="J52" s="90">
        <f t="shared" si="12"/>
        <v>0</v>
      </c>
    </row>
    <row r="53" spans="3:10" ht="15">
      <c r="C53" s="91" t="s">
        <v>61</v>
      </c>
      <c r="D53" s="36" t="s">
        <v>61</v>
      </c>
      <c r="E53" s="14">
        <f>SUMIFS(Master!$F$38:$AD$38,Master!$F$24:$AD$24,RESULT!$E$43,Master!$F$23:$AD$23,RESULT!$D53)</f>
        <v>0</v>
      </c>
      <c r="F53" s="14">
        <f>SUMIFS(Master!$F$38:$AD$38,Master!$F$24:$AD$24,RESULT!$F$43,Master!$F$23:$AD$23,RESULT!$D53)</f>
        <v>0</v>
      </c>
      <c r="G53" s="14">
        <f>VLOOKUP(C53&amp;D53,Master!$C$44:$F$55,MATCH(RESULT!$A$4,Master!$C$44:$F$44,0),FALSE)</f>
        <v>0</v>
      </c>
      <c r="H53" s="18">
        <f>IF($A$4=$P$3,F53*G53,IF(OR($A$4=$P$1,$A$4=$P$2),E53*G53,""))</f>
        <v>0</v>
      </c>
      <c r="I53" s="267">
        <f t="shared" si="11"/>
        <v>0</v>
      </c>
      <c r="J53" s="90">
        <f t="shared" si="12"/>
        <v>0</v>
      </c>
    </row>
    <row r="54" spans="3:10" ht="15.75" thickBot="1">
      <c r="C54" s="121" t="s">
        <v>75</v>
      </c>
      <c r="D54" s="122" t="s">
        <v>75</v>
      </c>
      <c r="E54" s="15">
        <f>SUMIFS(Master!$F$38:$AD$38,Master!$F$24:$AD$24,RESULT!$E$43,Master!$F$23:$AD$23,RESULT!$D54)</f>
        <v>0</v>
      </c>
      <c r="F54" s="15">
        <f>SUMIFS(Master!$F$38:$AD$38,Master!$F$24:$AD$24,RESULT!$F$43,Master!$F$23:$AD$23,RESULT!$D54)</f>
        <v>0</v>
      </c>
      <c r="G54" s="15">
        <f>VLOOKUP(C54&amp;D54,Master!$C$44:$F$55,MATCH(RESULT!$A$4,Master!$C$44:$F$44,0),FALSE)</f>
        <v>0</v>
      </c>
      <c r="H54" s="50">
        <f>IF($A$4=$P$3,F54*G54,IF(OR($A$4=$P$1,$A$4=$P$2),E54*G54,""))</f>
        <v>0</v>
      </c>
      <c r="I54" s="269">
        <f t="shared" si="11"/>
        <v>0</v>
      </c>
      <c r="J54" s="123">
        <f t="shared" si="12"/>
        <v>0</v>
      </c>
    </row>
    <row r="55" spans="3:10" ht="16.5" thickBot="1">
      <c r="C55" s="119" t="s">
        <v>62</v>
      </c>
      <c r="D55" s="120"/>
      <c r="E55" s="114">
        <f>SUM(E44:E54)</f>
        <v>2890</v>
      </c>
      <c r="F55" s="114">
        <f>SUM(F44:F54)</f>
        <v>305</v>
      </c>
      <c r="G55" s="114">
        <f>+H55/E55</f>
        <v>22.837370242214533</v>
      </c>
      <c r="H55" s="114">
        <f>SUM(H44:H54)</f>
        <v>66000</v>
      </c>
      <c r="I55" s="115">
        <f t="shared" si="11"/>
        <v>100</v>
      </c>
      <c r="J55" s="115">
        <f t="shared" si="12"/>
        <v>100</v>
      </c>
    </row>
    <row r="56" spans="3:10" ht="15.75" thickBot="1">
      <c r="D56" s="31"/>
      <c r="E56" s="61"/>
      <c r="F56" s="62"/>
      <c r="G56" s="63"/>
      <c r="H56" s="62"/>
      <c r="I56" s="10"/>
      <c r="J56" s="10"/>
    </row>
    <row r="57" spans="3:10" ht="15.75" thickBot="1">
      <c r="C57" s="71" t="s">
        <v>110</v>
      </c>
      <c r="D57" s="72"/>
      <c r="E57" s="68"/>
      <c r="F57" s="69"/>
      <c r="G57" s="70"/>
      <c r="H57" s="69">
        <f>+H55+H56</f>
        <v>66000</v>
      </c>
      <c r="I57" s="73"/>
      <c r="J57" s="73"/>
    </row>
    <row r="58" spans="3:10" ht="15">
      <c r="D58" s="77" t="s">
        <v>64</v>
      </c>
      <c r="E58" s="93">
        <f>+E55/D3</f>
        <v>8.904911567141184</v>
      </c>
      <c r="F58" s="78">
        <f>+F55/D3%</f>
        <v>93.979170518272014</v>
      </c>
      <c r="G58" s="78"/>
      <c r="H58" s="79"/>
      <c r="I58" s="80"/>
      <c r="J58" s="80"/>
    </row>
    <row r="59" spans="3:10" ht="15.75" thickBot="1">
      <c r="D59" s="81" t="s">
        <v>65</v>
      </c>
      <c r="E59" s="94">
        <f>+H57/E55</f>
        <v>22.837370242214533</v>
      </c>
      <c r="F59" s="116">
        <f>+H57/D3</f>
        <v>203.36476243298205</v>
      </c>
      <c r="G59" s="82"/>
      <c r="H59" s="83"/>
      <c r="I59" s="84"/>
      <c r="J59" s="84"/>
    </row>
    <row r="60" spans="3:10">
      <c r="H60" s="4" t="s">
        <v>66</v>
      </c>
    </row>
    <row r="61" spans="3:10" ht="13.5" thickBot="1"/>
    <row r="62" spans="3:10" ht="26.25" thickBot="1">
      <c r="D62" s="247" t="s">
        <v>76</v>
      </c>
      <c r="E62" s="248" t="s">
        <v>77</v>
      </c>
      <c r="F62" s="248" t="s">
        <v>78</v>
      </c>
      <c r="G62" s="248" t="s">
        <v>79</v>
      </c>
      <c r="H62" s="248" t="s">
        <v>80</v>
      </c>
      <c r="I62" s="249" t="s">
        <v>85</v>
      </c>
      <c r="J62" s="249" t="s">
        <v>159</v>
      </c>
    </row>
    <row r="63" spans="3:10">
      <c r="D63" s="244" t="s">
        <v>44</v>
      </c>
      <c r="E63" s="250">
        <f ca="1">SUMIFS('DATA DUMP'!$C:$C,'DATA DUMP'!$A:$A,RESULT!$D63)-SUMIFS($N:$N,$M:$M,$D63)</f>
        <v>1584</v>
      </c>
      <c r="F63" s="235">
        <f ca="1">SUMIFS('DATA DUMP'!$D:$D,'DATA DUMP'!$A:$A,RESULT!$D63)-SUMIFS($O:$O,$M:$M,$D63)</f>
        <v>19.706200000000003</v>
      </c>
      <c r="G63" s="250">
        <f>IFERROR(VLOOKUP($D63,Master!$A$5:$B$56,2,FALSE),0)</f>
        <v>68</v>
      </c>
      <c r="H63" s="235">
        <f ca="1">+G63*E63</f>
        <v>107712</v>
      </c>
      <c r="I63" s="245">
        <f t="shared" ref="I63:I74" ca="1" si="13">+E63/$E$80</f>
        <v>0.34615384615384615</v>
      </c>
      <c r="J63" s="245">
        <f ca="1">+F63/$F$80</f>
        <v>0.13769178203750468</v>
      </c>
    </row>
    <row r="64" spans="3:10">
      <c r="D64" s="244" t="s">
        <v>45</v>
      </c>
      <c r="E64" s="250">
        <f ca="1">SUMIFS('DATA DUMP'!$C:$C,'DATA DUMP'!$A:$A,RESULT!$D64)-SUMIFS($N:$N,$M:$M,$D64)</f>
        <v>1554</v>
      </c>
      <c r="F64" s="235">
        <f ca="1">SUMIFS('DATA DUMP'!$D:$D,'DATA DUMP'!$A:$A,RESULT!$D64)-SUMIFS($O:$O,$M:$M,$D64)</f>
        <v>9.9460000000000015</v>
      </c>
      <c r="G64" s="250">
        <f>IFERROR(VLOOKUP($D64,Master!$A$5:$B$56,2,FALSE),0)</f>
        <v>55</v>
      </c>
      <c r="H64" s="235">
        <f t="shared" ref="H64:H71" ca="1" si="14">+G64*E64</f>
        <v>85470</v>
      </c>
      <c r="I64" s="245">
        <f t="shared" ca="1" si="13"/>
        <v>0.33959790209790208</v>
      </c>
      <c r="J64" s="245">
        <f t="shared" ref="J64:J74" ca="1" si="15">+F64/$F$80</f>
        <v>6.9495004828176998E-2</v>
      </c>
    </row>
    <row r="65" spans="4:10">
      <c r="D65" s="244" t="s">
        <v>46</v>
      </c>
      <c r="E65" s="250">
        <f ca="1">SUMIFS('DATA DUMP'!$C:$C,'DATA DUMP'!$A:$A,RESULT!$D65)-SUMIFS($N:$N,$M:$M,$D65)</f>
        <v>148</v>
      </c>
      <c r="F65" s="235">
        <f ca="1">SUMIFS('DATA DUMP'!$D:$D,'DATA DUMP'!$A:$A,RESULT!$D65)-SUMIFS($O:$O,$M:$M,$D65)</f>
        <v>10.946999999999999</v>
      </c>
      <c r="G65" s="250">
        <f>IFERROR(VLOOKUP($D65,Master!$A$5:$B$56,2,FALSE),0)</f>
        <v>235</v>
      </c>
      <c r="H65" s="235">
        <f t="shared" ca="1" si="14"/>
        <v>34780</v>
      </c>
      <c r="I65" s="245">
        <f t="shared" ca="1" si="13"/>
        <v>3.2342657342657344E-2</v>
      </c>
      <c r="J65" s="245">
        <f t="shared" ca="1" si="15"/>
        <v>7.6489223592806493E-2</v>
      </c>
    </row>
    <row r="66" spans="4:10">
      <c r="D66" s="244" t="s">
        <v>58</v>
      </c>
      <c r="E66" s="250">
        <f ca="1">SUMIFS('DATA DUMP'!$C:$C,'DATA DUMP'!$A:$A,RESULT!$D66)-SUMIFS($N:$N,$M:$M,$D66)</f>
        <v>122</v>
      </c>
      <c r="F66" s="235">
        <f ca="1">SUMIFS('DATA DUMP'!$D:$D,'DATA DUMP'!$A:$A,RESULT!$D66)-SUMIFS($O:$O,$M:$M,$D66)</f>
        <v>2.347</v>
      </c>
      <c r="G66" s="250">
        <f>IFERROR(VLOOKUP($D66,Master!$A$5:$B$56,2,FALSE),0)</f>
        <v>55</v>
      </c>
      <c r="H66" s="235">
        <f t="shared" ca="1" si="14"/>
        <v>6710</v>
      </c>
      <c r="I66" s="245">
        <f t="shared" ca="1" si="13"/>
        <v>2.666083916083916E-2</v>
      </c>
      <c r="J66" s="245">
        <f t="shared" ca="1" si="15"/>
        <v>1.6399032408177295E-2</v>
      </c>
    </row>
    <row r="67" spans="4:10">
      <c r="D67" s="244" t="s">
        <v>59</v>
      </c>
      <c r="E67" s="250">
        <f ca="1">SUMIFS('DATA DUMP'!$C:$C,'DATA DUMP'!$A:$A,RESULT!$D67)-SUMIFS($N:$N,$M:$M,$D67)</f>
        <v>0</v>
      </c>
      <c r="F67" s="235">
        <f ca="1">SUMIFS('DATA DUMP'!$D:$D,'DATA DUMP'!$A:$A,RESULT!$D67)-SUMIFS($O:$O,$M:$M,$D67)</f>
        <v>0</v>
      </c>
      <c r="G67" s="250">
        <f>IFERROR(VLOOKUP($D67,Master!$A$5:$B$56,2,FALSE),0)</f>
        <v>105</v>
      </c>
      <c r="H67" s="235">
        <f t="shared" ca="1" si="14"/>
        <v>0</v>
      </c>
      <c r="I67" s="245">
        <f t="shared" ca="1" si="13"/>
        <v>0</v>
      </c>
      <c r="J67" s="245">
        <f t="shared" ca="1" si="15"/>
        <v>0</v>
      </c>
    </row>
    <row r="68" spans="4:10">
      <c r="D68" s="244" t="s">
        <v>48</v>
      </c>
      <c r="E68" s="250">
        <f ca="1">SUMIFS('DATA DUMP'!$C:$C,'DATA DUMP'!$A:$A,RESULT!$D68)-SUMIFS($N:$N,$M:$M,$D68)</f>
        <v>0</v>
      </c>
      <c r="F68" s="235">
        <f ca="1">SUMIFS('DATA DUMP'!$D:$D,'DATA DUMP'!$A:$A,RESULT!$D68)-SUMIFS($O:$O,$M:$M,$D68)</f>
        <v>0</v>
      </c>
      <c r="G68" s="250">
        <f>IFERROR(VLOOKUP($D68,Master!$A$5:$B$56,2,FALSE),0)</f>
        <v>105</v>
      </c>
      <c r="H68" s="235">
        <f t="shared" ca="1" si="14"/>
        <v>0</v>
      </c>
      <c r="I68" s="245">
        <f t="shared" ca="1" si="13"/>
        <v>0</v>
      </c>
      <c r="J68" s="245">
        <f t="shared" ca="1" si="15"/>
        <v>0</v>
      </c>
    </row>
    <row r="69" spans="4:10">
      <c r="D69" s="244" t="s">
        <v>49</v>
      </c>
      <c r="E69" s="250">
        <f ca="1">SUMIFS('DATA DUMP'!$C:$C,'DATA DUMP'!$A:$A,RESULT!$D69)-SUMIFS($N:$N,$M:$M,$D69)</f>
        <v>0</v>
      </c>
      <c r="F69" s="235">
        <f ca="1">SUMIFS('DATA DUMP'!$D:$D,'DATA DUMP'!$A:$A,RESULT!$D69)-SUMIFS($O:$O,$M:$M,$D69)</f>
        <v>1.298</v>
      </c>
      <c r="G69" s="250">
        <f>IFERROR(VLOOKUP($D69,Master!$A$5:$B$56,2,FALSE),0)</f>
        <v>200</v>
      </c>
      <c r="H69" s="235">
        <f t="shared" ca="1" si="14"/>
        <v>0</v>
      </c>
      <c r="I69" s="245">
        <f t="shared" ca="1" si="13"/>
        <v>0</v>
      </c>
      <c r="J69" s="245">
        <f t="shared" ca="1" si="15"/>
        <v>9.0694265299591532E-3</v>
      </c>
    </row>
    <row r="70" spans="4:10">
      <c r="D70" s="244" t="s">
        <v>50</v>
      </c>
      <c r="E70" s="250">
        <f ca="1">SUMIFS('DATA DUMP'!$C:$C,'DATA DUMP'!$A:$A,RESULT!$D70)-SUMIFS($N:$N,$M:$M,$D70)</f>
        <v>128</v>
      </c>
      <c r="F70" s="235">
        <f ca="1">SUMIFS('DATA DUMP'!$D:$D,'DATA DUMP'!$A:$A,RESULT!$D70)-SUMIFS($O:$O,$M:$M,$D70)</f>
        <v>0.72399999999999998</v>
      </c>
      <c r="G70" s="250">
        <f>IFERROR(VLOOKUP($D70,Master!$A$5:$B$56,2,FALSE),0)</f>
        <v>38</v>
      </c>
      <c r="H70" s="235">
        <f t="shared" ca="1" si="14"/>
        <v>4864</v>
      </c>
      <c r="I70" s="245">
        <f t="shared" ca="1" si="13"/>
        <v>2.7972027972027972E-2</v>
      </c>
      <c r="J70" s="245">
        <f t="shared" ca="1" si="15"/>
        <v>5.0587556299618074E-3</v>
      </c>
    </row>
    <row r="71" spans="4:10">
      <c r="D71" s="244" t="s">
        <v>54</v>
      </c>
      <c r="E71" s="250">
        <f ca="1">SUMIFS('DATA DUMP'!$C:$C,'DATA DUMP'!$A:$A,RESULT!$D71)-SUMIFS($N:$N,$M:$M,$D71)</f>
        <v>44</v>
      </c>
      <c r="F71" s="235">
        <f ca="1">SUMIFS('DATA DUMP'!$D:$D,'DATA DUMP'!$A:$A,RESULT!$D71)-SUMIFS($O:$O,$M:$M,$D71)</f>
        <v>3.3319999999999999</v>
      </c>
      <c r="G71" s="250">
        <f>IFERROR(VLOOKUP($D71,Master!$A$5:$B$56,2,FALSE),0)</f>
        <v>210</v>
      </c>
      <c r="H71" s="235">
        <f t="shared" ca="1" si="14"/>
        <v>9240</v>
      </c>
      <c r="I71" s="245">
        <f t="shared" ca="1" si="13"/>
        <v>9.6153846153846159E-3</v>
      </c>
      <c r="J71" s="245">
        <f t="shared" ca="1" si="15"/>
        <v>2.3281455468277267E-2</v>
      </c>
    </row>
    <row r="72" spans="4:10">
      <c r="D72" s="244" t="s">
        <v>51</v>
      </c>
      <c r="E72" s="250">
        <f ca="1">SUMIFS('DATA DUMP'!$C:$C,'DATA DUMP'!$A:$A,RESULT!$D72)-SUMIFS($N:$N,$M:$M,$D72)</f>
        <v>996</v>
      </c>
      <c r="F72" s="235">
        <f ca="1">SUMIFS('DATA DUMP'!$D:$D,'DATA DUMP'!$A:$A,RESULT!$D72)-SUMIFS($O:$O,$M:$M,$D72)</f>
        <v>94.817999999999998</v>
      </c>
      <c r="G72" s="250">
        <f>IFERROR(VLOOKUP($D72,Master!$A$5:$B$56,2,FALSE),0)</f>
        <v>145</v>
      </c>
      <c r="H72" s="235">
        <f ca="1">+G72*E72</f>
        <v>144420</v>
      </c>
      <c r="I72" s="245">
        <f t="shared" ca="1" si="13"/>
        <v>0.21765734265734266</v>
      </c>
      <c r="J72" s="245">
        <f t="shared" ca="1" si="15"/>
        <v>0.66251531950513631</v>
      </c>
    </row>
    <row r="73" spans="4:10">
      <c r="D73" s="244" t="s">
        <v>163</v>
      </c>
      <c r="E73" s="250">
        <f ca="1">SUMIFS('DATA DUMP'!$C:$C,'DATA DUMP'!$A:$A,RESULT!$D73)-SUMIFS($N:$N,$M:$M,$D73)</f>
        <v>0</v>
      </c>
      <c r="F73" s="235">
        <f ca="1">SUMIFS('DATA DUMP'!$D:$D,'DATA DUMP'!$A:$A,RESULT!$D73)-SUMIFS($O:$O,$M:$M,$D73)</f>
        <v>0</v>
      </c>
      <c r="G73" s="250">
        <f>IFERROR(VLOOKUP($D73,Master!$A$5:$B$56,2,FALSE),0)</f>
        <v>145</v>
      </c>
      <c r="H73" s="235">
        <f ca="1">+G73*E73</f>
        <v>0</v>
      </c>
      <c r="I73" s="245">
        <f t="shared" ca="1" si="13"/>
        <v>0</v>
      </c>
      <c r="J73" s="245">
        <f t="shared" ref="J73" ca="1" si="16">+F73/$F$80</f>
        <v>0</v>
      </c>
    </row>
    <row r="74" spans="4:10">
      <c r="D74" s="244" t="s">
        <v>60</v>
      </c>
      <c r="E74" s="250">
        <f ca="1">SUMIFS('DATA DUMP'!$C:$C,'DATA DUMP'!$A:$A,RESULT!$D74)-SUMIFS($N:$N,$M:$M,$D74)</f>
        <v>0</v>
      </c>
      <c r="F74" s="235">
        <f ca="1">SUMIFS('DATA DUMP'!$D:$D,'DATA DUMP'!$A:$A,RESULT!$D74)-SUMIFS($O:$O,$M:$M,$D74)</f>
        <v>0</v>
      </c>
      <c r="G74" s="250">
        <f>IFERROR(VLOOKUP($D74,Master!$A$5:$B$56,2,FALSE),0)</f>
        <v>220</v>
      </c>
      <c r="H74" s="235">
        <f ca="1">+G74*E74</f>
        <v>0</v>
      </c>
      <c r="I74" s="245">
        <f t="shared" ca="1" si="13"/>
        <v>0</v>
      </c>
      <c r="J74" s="245">
        <f t="shared" ca="1" si="15"/>
        <v>0</v>
      </c>
    </row>
    <row r="75" spans="4:10">
      <c r="D75" s="244"/>
      <c r="E75" s="250">
        <f>SUMIFS('DATA DUMP'!$C:$C,'DATA DUMP'!$A:$A,RESULT!$D75)-SUMIFS($N:$N,$M:$M,$D75)</f>
        <v>0</v>
      </c>
      <c r="F75" s="235">
        <f>SUMIFS('DATA DUMP'!$D:$D,'DATA DUMP'!$A:$A,RESULT!$D75)-SUMIFS($O:$O,$M:$M,$D75)</f>
        <v>0</v>
      </c>
      <c r="G75" s="250">
        <f>IFERROR(VLOOKUP($D75,Master!$A$5:$B$56,2,FALSE),0)</f>
        <v>0</v>
      </c>
      <c r="H75" s="235">
        <f t="shared" ref="H75:H78" si="17">+G75*E75</f>
        <v>0</v>
      </c>
      <c r="I75" s="245">
        <f t="shared" ref="I75:I78" ca="1" si="18">+E75/$E$80</f>
        <v>0</v>
      </c>
      <c r="J75" s="245">
        <f t="shared" ref="J75:J78" ca="1" si="19">+F75/$F$80</f>
        <v>0</v>
      </c>
    </row>
    <row r="76" spans="4:10">
      <c r="D76" s="244"/>
      <c r="E76" s="250">
        <f>SUMIFS('DATA DUMP'!$C:$C,'DATA DUMP'!$A:$A,RESULT!$D76)-SUMIFS($N:$N,$M:$M,$D76)</f>
        <v>0</v>
      </c>
      <c r="F76" s="235">
        <f>SUMIFS('DATA DUMP'!$D:$D,'DATA DUMP'!$A:$A,RESULT!$D76)-SUMIFS($O:$O,$M:$M,$D76)</f>
        <v>0</v>
      </c>
      <c r="G76" s="250">
        <f>IFERROR(VLOOKUP($D76,Master!$A$5:$B$56,2,FALSE),0)</f>
        <v>0</v>
      </c>
      <c r="H76" s="235">
        <f t="shared" si="17"/>
        <v>0</v>
      </c>
      <c r="I76" s="245">
        <f t="shared" ca="1" si="18"/>
        <v>0</v>
      </c>
      <c r="J76" s="245">
        <f t="shared" ca="1" si="19"/>
        <v>0</v>
      </c>
    </row>
    <row r="77" spans="4:10">
      <c r="D77" s="244"/>
      <c r="E77" s="250">
        <f>SUMIFS('DATA DUMP'!$C:$C,'DATA DUMP'!$A:$A,RESULT!$D77)-SUMIFS($N:$N,$M:$M,$D77)</f>
        <v>0</v>
      </c>
      <c r="F77" s="235">
        <f>SUMIFS('DATA DUMP'!$D:$D,'DATA DUMP'!$A:$A,RESULT!$D77)-SUMIFS($O:$O,$M:$M,$D77)</f>
        <v>0</v>
      </c>
      <c r="G77" s="250">
        <f>IFERROR(VLOOKUP($D77,Master!$A$5:$B$56,2,FALSE),0)</f>
        <v>0</v>
      </c>
      <c r="H77" s="235">
        <f t="shared" si="17"/>
        <v>0</v>
      </c>
      <c r="I77" s="245">
        <f t="shared" ca="1" si="18"/>
        <v>0</v>
      </c>
      <c r="J77" s="245">
        <f t="shared" ca="1" si="19"/>
        <v>0</v>
      </c>
    </row>
    <row r="78" spans="4:10">
      <c r="D78" s="244"/>
      <c r="E78" s="250">
        <f>SUMIFS('DATA DUMP'!$C:$C,'DATA DUMP'!$A:$A,RESULT!$D78)-SUMIFS($N:$N,$M:$M,$D78)</f>
        <v>0</v>
      </c>
      <c r="F78" s="235">
        <f>SUMIFS('DATA DUMP'!$D:$D,'DATA DUMP'!$A:$A,RESULT!$D78)-SUMIFS($O:$O,$M:$M,$D78)</f>
        <v>0</v>
      </c>
      <c r="G78" s="250">
        <f>IFERROR(VLOOKUP($D78,Master!$A$5:$B$56,2,FALSE),0)</f>
        <v>0</v>
      </c>
      <c r="H78" s="235">
        <f t="shared" si="17"/>
        <v>0</v>
      </c>
      <c r="I78" s="245">
        <f t="shared" ca="1" si="18"/>
        <v>0</v>
      </c>
      <c r="J78" s="245">
        <f t="shared" ca="1" si="19"/>
        <v>0</v>
      </c>
    </row>
    <row r="79" spans="4:10" ht="13.5" thickBot="1">
      <c r="D79" s="244"/>
      <c r="E79" s="250"/>
      <c r="F79" s="235"/>
      <c r="G79" s="251"/>
      <c r="H79" s="246"/>
      <c r="I79" s="128"/>
      <c r="J79" s="128"/>
    </row>
    <row r="80" spans="4:10" ht="13.5" thickBot="1">
      <c r="D80" s="129" t="s">
        <v>81</v>
      </c>
      <c r="E80" s="252">
        <f ca="1">SUM(E63:E74)</f>
        <v>4576</v>
      </c>
      <c r="F80" s="236">
        <f ca="1">SUM(F63:F74)</f>
        <v>143.1182</v>
      </c>
      <c r="G80" s="252"/>
      <c r="H80" s="236">
        <f ca="1">SUM(H63:H74)</f>
        <v>393196</v>
      </c>
      <c r="I80" s="130">
        <f ca="1">SUM(I63:I79)</f>
        <v>1</v>
      </c>
      <c r="J80" s="130">
        <f ca="1">SUM(J63:J79)</f>
        <v>1</v>
      </c>
    </row>
    <row r="81" spans="4:10" ht="15.75">
      <c r="D81" s="237"/>
      <c r="E81" s="253"/>
      <c r="F81" s="238"/>
      <c r="G81" s="239" t="s">
        <v>86</v>
      </c>
      <c r="H81" s="240">
        <f ca="1">+H80/E80</f>
        <v>85.925699300699307</v>
      </c>
      <c r="I81" s="241"/>
      <c r="J81" s="241"/>
    </row>
    <row r="82" spans="4:10" ht="15.75">
      <c r="D82" s="124"/>
      <c r="E82" s="30"/>
      <c r="F82" s="30"/>
      <c r="G82" s="34" t="s">
        <v>67</v>
      </c>
      <c r="H82" s="33">
        <f>VLOOKUP($A$4,Master!$A$65:$C$68,3,FALSE)</f>
        <v>88</v>
      </c>
      <c r="I82" s="125"/>
      <c r="J82" s="125"/>
    </row>
    <row r="83" spans="4:10" ht="15.75">
      <c r="D83" s="124"/>
      <c r="E83" s="30"/>
      <c r="F83" s="30"/>
      <c r="G83" s="35" t="s">
        <v>87</v>
      </c>
      <c r="H83" s="32">
        <f ca="1">SUM(H81:H82)</f>
        <v>173.92569930069931</v>
      </c>
      <c r="I83" s="125"/>
      <c r="J83" s="125"/>
    </row>
    <row r="84" spans="4:10" ht="16.5" thickBot="1">
      <c r="D84" s="126"/>
      <c r="E84" s="127"/>
      <c r="F84" s="127"/>
      <c r="G84" s="242" t="s">
        <v>115</v>
      </c>
      <c r="H84" s="243">
        <f>+E41</f>
        <v>22.837370242214533</v>
      </c>
      <c r="I84" s="128"/>
      <c r="J84" s="128"/>
    </row>
    <row r="85" spans="4:10">
      <c r="I85" s="6"/>
    </row>
    <row r="86" spans="4:10">
      <c r="I86" s="6"/>
    </row>
    <row r="87" spans="4:10">
      <c r="I87" s="6"/>
    </row>
    <row r="88" spans="4:10">
      <c r="I88" s="6"/>
    </row>
    <row r="89" spans="4:10">
      <c r="I89" s="6"/>
    </row>
    <row r="90" spans="4:10">
      <c r="I90" s="6"/>
    </row>
    <row r="91" spans="4:10">
      <c r="I91" s="6"/>
    </row>
    <row r="92" spans="4:10">
      <c r="I92" s="6"/>
    </row>
    <row r="93" spans="4:10">
      <c r="I93" s="6"/>
    </row>
    <row r="94" spans="4:10">
      <c r="I94" s="6"/>
    </row>
    <row r="97" spans="4:8" ht="18.75">
      <c r="G97" s="19"/>
    </row>
    <row r="98" spans="4:8" ht="18.75">
      <c r="D98" s="234"/>
      <c r="G98" s="19"/>
    </row>
    <row r="99" spans="4:8" ht="15">
      <c r="H99" s="7"/>
    </row>
    <row r="100" spans="4:8" ht="18.75">
      <c r="G100" s="19"/>
    </row>
  </sheetData>
  <mergeCells count="3">
    <mergeCell ref="A4:B4"/>
    <mergeCell ref="A3:B3"/>
    <mergeCell ref="A1:I1"/>
  </mergeCells>
  <conditionalFormatting sqref="D63:D72 D74:D79">
    <cfRule type="duplicateValues" dxfId="16" priority="21"/>
  </conditionalFormatting>
  <conditionalFormatting sqref="D63:D72 D74:D99">
    <cfRule type="duplicateValues" dxfId="15" priority="19"/>
  </conditionalFormatting>
  <conditionalFormatting sqref="D73">
    <cfRule type="duplicateValues" dxfId="14" priority="16"/>
  </conditionalFormatting>
  <conditionalFormatting sqref="D73">
    <cfRule type="duplicateValues" dxfId="13" priority="15"/>
  </conditionalFormatting>
  <conditionalFormatting sqref="E63:F79">
    <cfRule type="cellIs" dxfId="12" priority="14" operator="equal">
      <formula>0</formula>
    </cfRule>
  </conditionalFormatting>
  <conditionalFormatting sqref="G63:J78">
    <cfRule type="cellIs" dxfId="11" priority="13" operator="equal">
      <formula>0</formula>
    </cfRule>
  </conditionalFormatting>
  <conditionalFormatting sqref="M3:M12 M14:M15">
    <cfRule type="duplicateValues" dxfId="10" priority="12"/>
  </conditionalFormatting>
  <conditionalFormatting sqref="M3:M12 M14">
    <cfRule type="duplicateValues" dxfId="9" priority="11"/>
  </conditionalFormatting>
  <conditionalFormatting sqref="M13">
    <cfRule type="duplicateValues" dxfId="8" priority="10"/>
  </conditionalFormatting>
  <conditionalFormatting sqref="M13">
    <cfRule type="duplicateValues" dxfId="7" priority="9"/>
  </conditionalFormatting>
  <conditionalFormatting sqref="M30">
    <cfRule type="duplicateValues" dxfId="6" priority="2"/>
  </conditionalFormatting>
  <conditionalFormatting sqref="M30">
    <cfRule type="duplicateValues" dxfId="5" priority="1"/>
  </conditionalFormatting>
  <conditionalFormatting sqref="M20:M29 M31:M32">
    <cfRule type="duplicateValues" dxfId="4" priority="4"/>
  </conditionalFormatting>
  <conditionalFormatting sqref="M20:M29 M31">
    <cfRule type="duplicateValues" dxfId="3" priority="3"/>
  </conditionalFormatting>
  <pageMargins left="0.7" right="0.7" top="0.75" bottom="0.75" header="0.3" footer="0.3"/>
  <pageSetup paperSize="123" scale="56" orientation="portrait" horizontalDpi="180" verticalDpi="180" r:id="rId1"/>
  <ignoredErrors>
    <ignoredError sqref="G37 G55" formula="1"/>
    <ignoredError sqref="D27:D33 D45:D51 A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odule5.ExtractFactorySections">
                <anchor moveWithCells="1" sizeWithCells="1">
                  <from>
                    <xdr:col>19</xdr:col>
                    <xdr:colOff>190500</xdr:colOff>
                    <xdr:row>0</xdr:row>
                    <xdr:rowOff>0</xdr:rowOff>
                  </from>
                  <to>
                    <xdr:col>22</xdr:col>
                    <xdr:colOff>47625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Master!$A$66:$A$73</xm:f>
          </x14:formula1>
          <xm:sqref>A4:B4</xm:sqref>
        </x14:dataValidation>
        <x14:dataValidation type="list" allowBlank="1" showInputMessage="1" showErrorMessage="1">
          <x14:formula1>
            <xm:f>Master!$A$6:$A$39</xm:f>
          </x14:formula1>
          <xm:sqref>D63:D79 M20:M31 M3:M15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D68"/>
  <sheetViews>
    <sheetView workbookViewId="0">
      <pane xSplit="6" ySplit="4" topLeftCell="G5" activePane="bottomRight" state="frozen"/>
      <selection pane="topRight" activeCell="F1" sqref="F1"/>
      <selection pane="bottomLeft" activeCell="A5" sqref="A5"/>
      <selection pane="bottomRight" activeCell="F34" sqref="F34"/>
    </sheetView>
  </sheetViews>
  <sheetFormatPr defaultRowHeight="12.75"/>
  <cols>
    <col min="1" max="1" width="20.85546875" bestFit="1" customWidth="1"/>
    <col min="3" max="3" width="13.140625" bestFit="1" customWidth="1"/>
    <col min="6" max="6" width="20.85546875" bestFit="1" customWidth="1"/>
  </cols>
  <sheetData>
    <row r="2" spans="1:30" ht="13.5" thickBot="1">
      <c r="F2" s="95" t="s">
        <v>90</v>
      </c>
      <c r="G2" s="96"/>
    </row>
    <row r="3" spans="1:30" ht="13.5" thickBot="1">
      <c r="F3" s="205"/>
      <c r="G3" s="206" t="s">
        <v>25</v>
      </c>
      <c r="H3" s="213" t="str">
        <f>+G3</f>
        <v>ROUND</v>
      </c>
      <c r="I3" s="212" t="s">
        <v>68</v>
      </c>
      <c r="J3" s="210" t="str">
        <f>+I3</f>
        <v>+30</v>
      </c>
      <c r="K3" s="212" t="s">
        <v>69</v>
      </c>
      <c r="L3" s="210" t="str">
        <f>+K3</f>
        <v>+23</v>
      </c>
      <c r="M3" s="212" t="s">
        <v>70</v>
      </c>
      <c r="N3" s="210" t="str">
        <f>+M3</f>
        <v>+18</v>
      </c>
      <c r="O3" s="212" t="s">
        <v>71</v>
      </c>
      <c r="P3" s="210" t="str">
        <f>+O3</f>
        <v>+14</v>
      </c>
      <c r="Q3" s="212" t="s">
        <v>72</v>
      </c>
      <c r="R3" s="210" t="str">
        <f>+Q3</f>
        <v>+11</v>
      </c>
      <c r="S3" s="212" t="s">
        <v>73</v>
      </c>
      <c r="T3" s="210" t="str">
        <f>+S3</f>
        <v>+6.5</v>
      </c>
      <c r="U3" s="212" t="s">
        <v>74</v>
      </c>
      <c r="V3" s="210" t="str">
        <f>+U3</f>
        <v>-6.5</v>
      </c>
      <c r="W3" s="211" t="s">
        <v>26</v>
      </c>
      <c r="X3" s="210" t="str">
        <f>+W3</f>
        <v>FANCY</v>
      </c>
      <c r="Y3" s="211" t="s">
        <v>61</v>
      </c>
      <c r="Z3" s="210" t="str">
        <f>+Y3</f>
        <v>CHOKY</v>
      </c>
      <c r="AA3" s="211" t="s">
        <v>75</v>
      </c>
      <c r="AB3" s="210" t="str">
        <f>+AA3</f>
        <v>4 STEP</v>
      </c>
      <c r="AC3" s="281" t="s">
        <v>62</v>
      </c>
      <c r="AD3" s="282"/>
    </row>
    <row r="4" spans="1:30" ht="13.5" thickBot="1">
      <c r="A4" s="283" t="s">
        <v>153</v>
      </c>
      <c r="B4" s="284"/>
      <c r="F4" s="220" t="s">
        <v>84</v>
      </c>
      <c r="G4" s="221" t="s">
        <v>82</v>
      </c>
      <c r="H4" s="222" t="s">
        <v>83</v>
      </c>
      <c r="I4" s="223" t="s">
        <v>82</v>
      </c>
      <c r="J4" s="222" t="s">
        <v>83</v>
      </c>
      <c r="K4" s="223" t="s">
        <v>82</v>
      </c>
      <c r="L4" s="222" t="s">
        <v>83</v>
      </c>
      <c r="M4" s="223" t="s">
        <v>82</v>
      </c>
      <c r="N4" s="222" t="s">
        <v>83</v>
      </c>
      <c r="O4" s="223" t="s">
        <v>82</v>
      </c>
      <c r="P4" s="222" t="s">
        <v>83</v>
      </c>
      <c r="Q4" s="223" t="s">
        <v>82</v>
      </c>
      <c r="R4" s="222" t="s">
        <v>83</v>
      </c>
      <c r="S4" s="223" t="s">
        <v>82</v>
      </c>
      <c r="T4" s="222" t="s">
        <v>83</v>
      </c>
      <c r="U4" s="223" t="s">
        <v>82</v>
      </c>
      <c r="V4" s="222" t="s">
        <v>83</v>
      </c>
      <c r="W4" s="223" t="s">
        <v>82</v>
      </c>
      <c r="X4" s="222" t="s">
        <v>83</v>
      </c>
      <c r="Y4" s="223" t="s">
        <v>82</v>
      </c>
      <c r="Z4" s="222" t="s">
        <v>83</v>
      </c>
      <c r="AA4" s="223" t="s">
        <v>82</v>
      </c>
      <c r="AB4" s="222" t="s">
        <v>83</v>
      </c>
      <c r="AC4" s="223" t="s">
        <v>82</v>
      </c>
      <c r="AD4" s="222" t="s">
        <v>83</v>
      </c>
    </row>
    <row r="5" spans="1:30">
      <c r="A5" s="255" t="s">
        <v>84</v>
      </c>
      <c r="B5" s="256" t="s">
        <v>79</v>
      </c>
      <c r="C5" s="24"/>
      <c r="F5" s="215" t="s">
        <v>44</v>
      </c>
      <c r="G5" s="216">
        <v>100</v>
      </c>
      <c r="H5" s="217">
        <v>30</v>
      </c>
      <c r="I5" s="218">
        <v>15</v>
      </c>
      <c r="J5" s="219">
        <v>50</v>
      </c>
      <c r="K5" s="218">
        <v>25</v>
      </c>
      <c r="L5" s="219">
        <v>25</v>
      </c>
      <c r="M5" s="218">
        <v>1000</v>
      </c>
      <c r="N5" s="219">
        <v>75</v>
      </c>
      <c r="O5" s="218">
        <v>900</v>
      </c>
      <c r="P5" s="219">
        <v>60</v>
      </c>
      <c r="Q5" s="218">
        <v>850</v>
      </c>
      <c r="R5" s="219">
        <v>65</v>
      </c>
      <c r="S5" s="218"/>
      <c r="T5" s="219"/>
      <c r="U5" s="218"/>
      <c r="V5" s="219"/>
      <c r="W5" s="218"/>
      <c r="X5" s="219"/>
      <c r="Y5" s="218"/>
      <c r="Z5" s="219"/>
      <c r="AA5" s="218"/>
      <c r="AB5" s="219"/>
      <c r="AC5" s="218">
        <f>SUMIFS($G$5:$AB$5,$G$4:$AB$4,AC4)</f>
        <v>2890</v>
      </c>
      <c r="AD5" s="219">
        <f>SUMIFS($G$5:$AB$5,$G$4:$AB$4,AD4)</f>
        <v>305</v>
      </c>
    </row>
    <row r="6" spans="1:30">
      <c r="A6" s="28" t="s">
        <v>44</v>
      </c>
      <c r="B6" s="25">
        <v>68</v>
      </c>
      <c r="F6" s="207" t="s">
        <v>45</v>
      </c>
      <c r="G6" s="26"/>
      <c r="H6" s="214"/>
      <c r="I6" s="209"/>
      <c r="J6" s="208"/>
      <c r="K6" s="209"/>
      <c r="L6" s="208"/>
      <c r="M6" s="209"/>
      <c r="N6" s="208"/>
      <c r="O6" s="209"/>
      <c r="P6" s="208"/>
      <c r="Q6" s="209"/>
      <c r="R6" s="208"/>
      <c r="S6" s="209"/>
      <c r="T6" s="208"/>
      <c r="U6" s="209"/>
      <c r="V6" s="208"/>
      <c r="W6" s="209"/>
      <c r="X6" s="208"/>
      <c r="Y6" s="209"/>
      <c r="Z6" s="208"/>
      <c r="AA6" s="209"/>
      <c r="AB6" s="208"/>
      <c r="AC6" s="209"/>
      <c r="AD6" s="208"/>
    </row>
    <row r="7" spans="1:30">
      <c r="A7" s="28" t="s">
        <v>45</v>
      </c>
      <c r="B7" s="25">
        <v>55</v>
      </c>
      <c r="F7" s="207" t="s">
        <v>46</v>
      </c>
      <c r="G7" s="26"/>
      <c r="H7" s="214"/>
      <c r="I7" s="209"/>
      <c r="J7" s="208"/>
      <c r="K7" s="209"/>
      <c r="L7" s="208"/>
      <c r="M7" s="209"/>
      <c r="N7" s="208"/>
      <c r="O7" s="209"/>
      <c r="P7" s="208"/>
      <c r="Q7" s="209"/>
      <c r="R7" s="208"/>
      <c r="S7" s="209"/>
      <c r="T7" s="208"/>
      <c r="U7" s="209"/>
      <c r="V7" s="208"/>
      <c r="W7" s="209"/>
      <c r="X7" s="208"/>
      <c r="Y7" s="209"/>
      <c r="Z7" s="208"/>
      <c r="AA7" s="209"/>
      <c r="AB7" s="208"/>
      <c r="AC7" s="209"/>
      <c r="AD7" s="208"/>
    </row>
    <row r="8" spans="1:30">
      <c r="A8" s="28" t="s">
        <v>46</v>
      </c>
      <c r="B8" s="25">
        <v>235</v>
      </c>
      <c r="F8" s="207" t="s">
        <v>58</v>
      </c>
      <c r="G8" s="26"/>
      <c r="H8" s="214"/>
      <c r="I8" s="209"/>
      <c r="J8" s="208"/>
      <c r="K8" s="209"/>
      <c r="L8" s="208"/>
      <c r="M8" s="209"/>
      <c r="N8" s="208"/>
      <c r="O8" s="209"/>
      <c r="P8" s="208"/>
      <c r="Q8" s="209"/>
      <c r="R8" s="208"/>
      <c r="S8" s="209"/>
      <c r="T8" s="208"/>
      <c r="U8" s="209"/>
      <c r="V8" s="208"/>
      <c r="W8" s="209"/>
      <c r="X8" s="208"/>
      <c r="Y8" s="209"/>
      <c r="Z8" s="208"/>
      <c r="AA8" s="209"/>
      <c r="AB8" s="208"/>
      <c r="AC8" s="209"/>
      <c r="AD8" s="208"/>
    </row>
    <row r="9" spans="1:30">
      <c r="A9" s="28" t="s">
        <v>58</v>
      </c>
      <c r="B9" s="25">
        <v>55</v>
      </c>
      <c r="F9" s="207" t="s">
        <v>47</v>
      </c>
      <c r="G9" s="26"/>
      <c r="H9" s="214"/>
      <c r="I9" s="209"/>
      <c r="J9" s="208"/>
      <c r="K9" s="209"/>
      <c r="L9" s="208"/>
      <c r="M9" s="209"/>
      <c r="N9" s="208"/>
      <c r="O9" s="209"/>
      <c r="P9" s="208"/>
      <c r="Q9" s="209"/>
      <c r="R9" s="208"/>
      <c r="S9" s="209"/>
      <c r="T9" s="208"/>
      <c r="U9" s="209"/>
      <c r="V9" s="208"/>
      <c r="W9" s="209"/>
      <c r="X9" s="208"/>
      <c r="Y9" s="209"/>
      <c r="Z9" s="208"/>
      <c r="AA9" s="209"/>
      <c r="AB9" s="208"/>
      <c r="AC9" s="209"/>
      <c r="AD9" s="208"/>
    </row>
    <row r="10" spans="1:30">
      <c r="A10" s="254" t="s">
        <v>164</v>
      </c>
      <c r="B10" s="25">
        <v>105</v>
      </c>
      <c r="F10" s="207" t="s">
        <v>59</v>
      </c>
      <c r="G10" s="26"/>
      <c r="H10" s="214"/>
      <c r="I10" s="209"/>
      <c r="J10" s="208"/>
      <c r="K10" s="209"/>
      <c r="L10" s="208"/>
      <c r="M10" s="209"/>
      <c r="N10" s="208"/>
      <c r="O10" s="209"/>
      <c r="P10" s="208"/>
      <c r="Q10" s="209"/>
      <c r="R10" s="208"/>
      <c r="S10" s="209"/>
      <c r="T10" s="208"/>
      <c r="U10" s="209"/>
      <c r="V10" s="208"/>
      <c r="W10" s="209"/>
      <c r="X10" s="208"/>
      <c r="Y10" s="209"/>
      <c r="Z10" s="208"/>
      <c r="AA10" s="209"/>
      <c r="AB10" s="208"/>
      <c r="AC10" s="209"/>
      <c r="AD10" s="208"/>
    </row>
    <row r="11" spans="1:30">
      <c r="A11" s="28" t="s">
        <v>59</v>
      </c>
      <c r="B11" s="25">
        <v>105</v>
      </c>
      <c r="F11" s="207" t="s">
        <v>48</v>
      </c>
      <c r="G11" s="26"/>
      <c r="H11" s="214"/>
      <c r="I11" s="209"/>
      <c r="J11" s="208"/>
      <c r="K11" s="209"/>
      <c r="L11" s="208"/>
      <c r="M11" s="209"/>
      <c r="N11" s="208"/>
      <c r="O11" s="209"/>
      <c r="P11" s="208"/>
      <c r="Q11" s="209"/>
      <c r="R11" s="208"/>
      <c r="S11" s="209"/>
      <c r="T11" s="208"/>
      <c r="U11" s="209"/>
      <c r="V11" s="208"/>
      <c r="W11" s="209"/>
      <c r="X11" s="208"/>
      <c r="Y11" s="209"/>
      <c r="Z11" s="208"/>
      <c r="AA11" s="209"/>
      <c r="AB11" s="208"/>
      <c r="AC11" s="209"/>
      <c r="AD11" s="208"/>
    </row>
    <row r="12" spans="1:30">
      <c r="A12" s="28" t="s">
        <v>48</v>
      </c>
      <c r="B12" s="25">
        <v>105</v>
      </c>
      <c r="F12" s="207" t="s">
        <v>49</v>
      </c>
      <c r="G12" s="25"/>
      <c r="H12" s="208"/>
      <c r="I12" s="209"/>
      <c r="J12" s="208"/>
      <c r="K12" s="209"/>
      <c r="L12" s="208"/>
      <c r="M12" s="209"/>
      <c r="N12" s="208"/>
      <c r="O12" s="209"/>
      <c r="P12" s="208"/>
      <c r="Q12" s="209"/>
      <c r="R12" s="208"/>
      <c r="S12" s="209"/>
      <c r="T12" s="208"/>
      <c r="U12" s="209"/>
      <c r="V12" s="208"/>
      <c r="W12" s="209"/>
      <c r="X12" s="208"/>
      <c r="Y12" s="209"/>
      <c r="Z12" s="208"/>
      <c r="AA12" s="209"/>
      <c r="AB12" s="208"/>
      <c r="AC12" s="209"/>
      <c r="AD12" s="208"/>
    </row>
    <row r="13" spans="1:30">
      <c r="A13" s="28" t="s">
        <v>49</v>
      </c>
      <c r="B13" s="25">
        <v>200</v>
      </c>
      <c r="F13" s="207" t="s">
        <v>50</v>
      </c>
      <c r="G13" s="25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</row>
    <row r="14" spans="1:30">
      <c r="A14" s="28" t="s">
        <v>50</v>
      </c>
      <c r="B14" s="25">
        <v>38</v>
      </c>
      <c r="F14" s="207" t="s">
        <v>54</v>
      </c>
      <c r="G14" s="25"/>
      <c r="H14" s="208"/>
      <c r="I14" s="209"/>
      <c r="J14" s="208"/>
      <c r="K14" s="209"/>
      <c r="L14" s="208"/>
      <c r="M14" s="209"/>
      <c r="N14" s="208"/>
      <c r="O14" s="209"/>
      <c r="P14" s="208"/>
      <c r="Q14" s="209"/>
      <c r="R14" s="208"/>
      <c r="S14" s="209"/>
      <c r="T14" s="208"/>
      <c r="U14" s="209"/>
      <c r="V14" s="208"/>
      <c r="W14" s="209"/>
      <c r="X14" s="208"/>
      <c r="Y14" s="209"/>
      <c r="Z14" s="208"/>
      <c r="AA14" s="209"/>
      <c r="AB14" s="208"/>
      <c r="AC14" s="209"/>
      <c r="AD14" s="208"/>
    </row>
    <row r="15" spans="1:30">
      <c r="A15" s="28" t="s">
        <v>54</v>
      </c>
      <c r="B15" s="25">
        <v>210</v>
      </c>
      <c r="F15" s="207" t="s">
        <v>51</v>
      </c>
      <c r="G15" s="25"/>
      <c r="H15" s="208"/>
      <c r="I15" s="209"/>
      <c r="J15" s="208"/>
      <c r="K15" s="209"/>
      <c r="L15" s="208"/>
      <c r="M15" s="209"/>
      <c r="N15" s="208"/>
      <c r="O15" s="209"/>
      <c r="P15" s="208"/>
      <c r="Q15" s="209"/>
      <c r="R15" s="208"/>
      <c r="S15" s="209"/>
      <c r="T15" s="208"/>
      <c r="U15" s="209"/>
      <c r="V15" s="208"/>
      <c r="W15" s="209"/>
      <c r="X15" s="208"/>
      <c r="Y15" s="209"/>
      <c r="Z15" s="208"/>
      <c r="AA15" s="209"/>
      <c r="AB15" s="208"/>
      <c r="AC15" s="209"/>
      <c r="AD15" s="208"/>
    </row>
    <row r="16" spans="1:30">
      <c r="A16" s="28" t="s">
        <v>51</v>
      </c>
      <c r="B16" s="25">
        <v>145</v>
      </c>
      <c r="F16" s="207" t="s">
        <v>60</v>
      </c>
      <c r="G16" s="25"/>
      <c r="H16" s="208"/>
      <c r="I16" s="209"/>
      <c r="J16" s="208"/>
      <c r="K16" s="209"/>
      <c r="L16" s="208"/>
      <c r="M16" s="209"/>
      <c r="N16" s="208"/>
      <c r="O16" s="209"/>
      <c r="P16" s="208"/>
      <c r="Q16" s="209"/>
      <c r="R16" s="208"/>
      <c r="S16" s="209"/>
      <c r="T16" s="208"/>
      <c r="U16" s="209"/>
      <c r="V16" s="208"/>
      <c r="W16" s="209"/>
      <c r="X16" s="208"/>
      <c r="Y16" s="209"/>
      <c r="Z16" s="208"/>
      <c r="AA16" s="209"/>
      <c r="AB16" s="208"/>
      <c r="AC16" s="209"/>
      <c r="AD16" s="208"/>
    </row>
    <row r="17" spans="1:30" ht="13.5" thickBot="1">
      <c r="A17" s="28" t="s">
        <v>60</v>
      </c>
      <c r="B17" s="25">
        <v>220</v>
      </c>
      <c r="F17" s="224"/>
      <c r="G17" s="225"/>
      <c r="H17" s="226"/>
      <c r="I17" s="227"/>
      <c r="J17" s="226"/>
      <c r="K17" s="227"/>
      <c r="L17" s="226"/>
      <c r="M17" s="227"/>
      <c r="N17" s="226"/>
      <c r="O17" s="227"/>
      <c r="P17" s="226"/>
      <c r="Q17" s="227"/>
      <c r="R17" s="226"/>
      <c r="S17" s="227"/>
      <c r="T17" s="226"/>
      <c r="U17" s="227"/>
      <c r="V17" s="226"/>
      <c r="W17" s="227"/>
      <c r="X17" s="226"/>
      <c r="Y17" s="227"/>
      <c r="Z17" s="226"/>
      <c r="AA17" s="227"/>
      <c r="AB17" s="226"/>
      <c r="AC17" s="227"/>
      <c r="AD17" s="226"/>
    </row>
    <row r="18" spans="1:30" ht="13.5" thickBot="1">
      <c r="A18" s="25" t="s">
        <v>163</v>
      </c>
      <c r="B18" s="25">
        <v>145</v>
      </c>
      <c r="F18" s="228" t="s">
        <v>62</v>
      </c>
      <c r="G18" s="229">
        <f>SUM(G5:G17)</f>
        <v>100</v>
      </c>
      <c r="H18" s="230">
        <f t="shared" ref="H18:AD18" si="0">SUM(H5:H17)</f>
        <v>30</v>
      </c>
      <c r="I18" s="231">
        <f t="shared" si="0"/>
        <v>15</v>
      </c>
      <c r="J18" s="230">
        <f t="shared" si="0"/>
        <v>50</v>
      </c>
      <c r="K18" s="231">
        <f t="shared" si="0"/>
        <v>25</v>
      </c>
      <c r="L18" s="230">
        <f t="shared" si="0"/>
        <v>25</v>
      </c>
      <c r="M18" s="231">
        <f t="shared" si="0"/>
        <v>1000</v>
      </c>
      <c r="N18" s="230">
        <f t="shared" si="0"/>
        <v>75</v>
      </c>
      <c r="O18" s="231">
        <f t="shared" si="0"/>
        <v>900</v>
      </c>
      <c r="P18" s="230">
        <f t="shared" si="0"/>
        <v>60</v>
      </c>
      <c r="Q18" s="231">
        <f t="shared" si="0"/>
        <v>850</v>
      </c>
      <c r="R18" s="230">
        <f t="shared" si="0"/>
        <v>65</v>
      </c>
      <c r="S18" s="231">
        <f t="shared" si="0"/>
        <v>0</v>
      </c>
      <c r="T18" s="230">
        <f t="shared" si="0"/>
        <v>0</v>
      </c>
      <c r="U18" s="231">
        <f t="shared" si="0"/>
        <v>0</v>
      </c>
      <c r="V18" s="230">
        <f t="shared" si="0"/>
        <v>0</v>
      </c>
      <c r="W18" s="231">
        <f t="shared" si="0"/>
        <v>0</v>
      </c>
      <c r="X18" s="230">
        <f t="shared" si="0"/>
        <v>0</v>
      </c>
      <c r="Y18" s="231">
        <f t="shared" si="0"/>
        <v>0</v>
      </c>
      <c r="Z18" s="230">
        <f t="shared" si="0"/>
        <v>0</v>
      </c>
      <c r="AA18" s="231">
        <f t="shared" si="0"/>
        <v>0</v>
      </c>
      <c r="AB18" s="230">
        <f t="shared" si="0"/>
        <v>0</v>
      </c>
      <c r="AC18" s="231">
        <f t="shared" si="0"/>
        <v>2890</v>
      </c>
      <c r="AD18" s="230">
        <f t="shared" si="0"/>
        <v>305</v>
      </c>
    </row>
    <row r="22" spans="1:30" ht="13.5" thickBot="1">
      <c r="F22" s="95" t="s">
        <v>112</v>
      </c>
      <c r="G22" s="96"/>
      <c r="H22" s="96"/>
    </row>
    <row r="23" spans="1:30">
      <c r="F23" s="205"/>
      <c r="G23" s="206" t="s">
        <v>25</v>
      </c>
      <c r="H23" s="213" t="str">
        <f>+G23</f>
        <v>ROUND</v>
      </c>
      <c r="I23" s="212" t="s">
        <v>68</v>
      </c>
      <c r="J23" s="210" t="str">
        <f>+I23</f>
        <v>+30</v>
      </c>
      <c r="K23" s="212" t="s">
        <v>69</v>
      </c>
      <c r="L23" s="210" t="str">
        <f>+K23</f>
        <v>+23</v>
      </c>
      <c r="M23" s="212" t="s">
        <v>70</v>
      </c>
      <c r="N23" s="210" t="str">
        <f>+M23</f>
        <v>+18</v>
      </c>
      <c r="O23" s="212" t="s">
        <v>71</v>
      </c>
      <c r="P23" s="210" t="str">
        <f>+O23</f>
        <v>+14</v>
      </c>
      <c r="Q23" s="212" t="s">
        <v>72</v>
      </c>
      <c r="R23" s="210" t="str">
        <f>+Q23</f>
        <v>+11</v>
      </c>
      <c r="S23" s="212" t="s">
        <v>73</v>
      </c>
      <c r="T23" s="210" t="str">
        <f>+S23</f>
        <v>+6.5</v>
      </c>
      <c r="U23" s="212" t="s">
        <v>74</v>
      </c>
      <c r="V23" s="210" t="str">
        <f>+U23</f>
        <v>-6.5</v>
      </c>
      <c r="W23" s="211" t="s">
        <v>26</v>
      </c>
      <c r="X23" s="210" t="str">
        <f>+W23</f>
        <v>FANCY</v>
      </c>
      <c r="Y23" s="211" t="s">
        <v>61</v>
      </c>
      <c r="Z23" s="210" t="str">
        <f>+Y23</f>
        <v>CHOKY</v>
      </c>
      <c r="AA23" s="211" t="s">
        <v>75</v>
      </c>
      <c r="AB23" s="210" t="str">
        <f>+AA23</f>
        <v>4 STEP</v>
      </c>
      <c r="AC23" s="281" t="s">
        <v>62</v>
      </c>
      <c r="AD23" s="282"/>
    </row>
    <row r="24" spans="1:30" ht="13.5" thickBot="1">
      <c r="F24" s="220" t="s">
        <v>84</v>
      </c>
      <c r="G24" s="221" t="s">
        <v>82</v>
      </c>
      <c r="H24" s="222" t="s">
        <v>83</v>
      </c>
      <c r="I24" s="223" t="s">
        <v>82</v>
      </c>
      <c r="J24" s="222" t="s">
        <v>83</v>
      </c>
      <c r="K24" s="223" t="s">
        <v>82</v>
      </c>
      <c r="L24" s="222" t="s">
        <v>83</v>
      </c>
      <c r="M24" s="223" t="s">
        <v>82</v>
      </c>
      <c r="N24" s="222" t="s">
        <v>83</v>
      </c>
      <c r="O24" s="223" t="s">
        <v>82</v>
      </c>
      <c r="P24" s="222" t="s">
        <v>83</v>
      </c>
      <c r="Q24" s="223" t="s">
        <v>82</v>
      </c>
      <c r="R24" s="222" t="s">
        <v>83</v>
      </c>
      <c r="S24" s="223" t="s">
        <v>82</v>
      </c>
      <c r="T24" s="222" t="s">
        <v>83</v>
      </c>
      <c r="U24" s="223" t="s">
        <v>82</v>
      </c>
      <c r="V24" s="222" t="s">
        <v>83</v>
      </c>
      <c r="W24" s="223" t="s">
        <v>82</v>
      </c>
      <c r="X24" s="222" t="s">
        <v>83</v>
      </c>
      <c r="Y24" s="223" t="s">
        <v>82</v>
      </c>
      <c r="Z24" s="222" t="s">
        <v>83</v>
      </c>
      <c r="AA24" s="223" t="s">
        <v>82</v>
      </c>
      <c r="AB24" s="222" t="s">
        <v>83</v>
      </c>
      <c r="AC24" s="223" t="s">
        <v>82</v>
      </c>
      <c r="AD24" s="222" t="s">
        <v>83</v>
      </c>
    </row>
    <row r="25" spans="1:30">
      <c r="F25" s="215" t="s">
        <v>44</v>
      </c>
      <c r="G25" s="216">
        <v>100</v>
      </c>
      <c r="H25" s="217">
        <v>30</v>
      </c>
      <c r="I25" s="218">
        <v>15</v>
      </c>
      <c r="J25" s="219">
        <v>50</v>
      </c>
      <c r="K25" s="218">
        <v>25</v>
      </c>
      <c r="L25" s="219">
        <v>25</v>
      </c>
      <c r="M25" s="218">
        <v>1000</v>
      </c>
      <c r="N25" s="219">
        <v>75</v>
      </c>
      <c r="O25" s="218">
        <v>900</v>
      </c>
      <c r="P25" s="219">
        <v>60</v>
      </c>
      <c r="Q25" s="218">
        <v>850</v>
      </c>
      <c r="R25" s="219">
        <v>65</v>
      </c>
      <c r="S25" s="218"/>
      <c r="T25" s="219"/>
      <c r="U25" s="218"/>
      <c r="V25" s="219"/>
      <c r="W25" s="218"/>
      <c r="X25" s="219"/>
      <c r="Y25" s="218"/>
      <c r="Z25" s="219"/>
      <c r="AA25" s="218"/>
      <c r="AB25" s="219"/>
      <c r="AC25" s="218">
        <f>SUMIFS($G$5:$AB$5,$G$4:$AB$4,AC24)</f>
        <v>2890</v>
      </c>
      <c r="AD25" s="219">
        <f>SUMIFS($G$5:$AB$5,$G$4:$AB$4,AD24)</f>
        <v>305</v>
      </c>
    </row>
    <row r="26" spans="1:30">
      <c r="F26" s="207" t="s">
        <v>45</v>
      </c>
      <c r="G26" s="26"/>
      <c r="H26" s="214"/>
      <c r="I26" s="209"/>
      <c r="J26" s="208"/>
      <c r="K26" s="209"/>
      <c r="L26" s="208"/>
      <c r="M26" s="209"/>
      <c r="N26" s="208"/>
      <c r="O26" s="209"/>
      <c r="P26" s="208"/>
      <c r="Q26" s="209"/>
      <c r="R26" s="208"/>
      <c r="S26" s="209"/>
      <c r="T26" s="208"/>
      <c r="U26" s="209"/>
      <c r="V26" s="208"/>
      <c r="W26" s="209"/>
      <c r="X26" s="208"/>
      <c r="Y26" s="209"/>
      <c r="Z26" s="208"/>
      <c r="AA26" s="209"/>
      <c r="AB26" s="208"/>
      <c r="AC26" s="209"/>
      <c r="AD26" s="208"/>
    </row>
    <row r="27" spans="1:30">
      <c r="F27" s="207" t="s">
        <v>46</v>
      </c>
      <c r="G27" s="26"/>
      <c r="H27" s="214"/>
      <c r="I27" s="209"/>
      <c r="J27" s="208"/>
      <c r="K27" s="209"/>
      <c r="L27" s="208"/>
      <c r="M27" s="209"/>
      <c r="N27" s="208"/>
      <c r="O27" s="209"/>
      <c r="P27" s="208"/>
      <c r="Q27" s="209"/>
      <c r="R27" s="208"/>
      <c r="S27" s="209"/>
      <c r="T27" s="208"/>
      <c r="U27" s="209"/>
      <c r="V27" s="208"/>
      <c r="W27" s="209"/>
      <c r="X27" s="208"/>
      <c r="Y27" s="209"/>
      <c r="Z27" s="208"/>
      <c r="AA27" s="209"/>
      <c r="AB27" s="208"/>
      <c r="AC27" s="209"/>
      <c r="AD27" s="208"/>
    </row>
    <row r="28" spans="1:30">
      <c r="F28" s="207" t="s">
        <v>58</v>
      </c>
      <c r="G28" s="26"/>
      <c r="H28" s="214"/>
      <c r="I28" s="209"/>
      <c r="J28" s="208"/>
      <c r="K28" s="209"/>
      <c r="L28" s="208"/>
      <c r="M28" s="209"/>
      <c r="N28" s="208"/>
      <c r="O28" s="209"/>
      <c r="P28" s="208"/>
      <c r="Q28" s="209"/>
      <c r="R28" s="208"/>
      <c r="S28" s="209"/>
      <c r="T28" s="208"/>
      <c r="U28" s="209"/>
      <c r="V28" s="208"/>
      <c r="W28" s="209"/>
      <c r="X28" s="208"/>
      <c r="Y28" s="209"/>
      <c r="Z28" s="208"/>
      <c r="AA28" s="209"/>
      <c r="AB28" s="208"/>
      <c r="AC28" s="209"/>
      <c r="AD28" s="208"/>
    </row>
    <row r="29" spans="1:30">
      <c r="F29" s="207" t="s">
        <v>47</v>
      </c>
      <c r="G29" s="26"/>
      <c r="H29" s="214"/>
      <c r="I29" s="209"/>
      <c r="J29" s="208"/>
      <c r="K29" s="209"/>
      <c r="L29" s="208"/>
      <c r="M29" s="209"/>
      <c r="N29" s="208"/>
      <c r="O29" s="209"/>
      <c r="P29" s="208"/>
      <c r="Q29" s="209"/>
      <c r="R29" s="208"/>
      <c r="S29" s="209"/>
      <c r="T29" s="208"/>
      <c r="U29" s="209"/>
      <c r="V29" s="208"/>
      <c r="W29" s="209"/>
      <c r="X29" s="208"/>
      <c r="Y29" s="209"/>
      <c r="Z29" s="208"/>
      <c r="AA29" s="209"/>
      <c r="AB29" s="208"/>
      <c r="AC29" s="209"/>
      <c r="AD29" s="208"/>
    </row>
    <row r="30" spans="1:30">
      <c r="F30" s="207" t="s">
        <v>59</v>
      </c>
      <c r="G30" s="26"/>
      <c r="H30" s="214"/>
      <c r="I30" s="209"/>
      <c r="J30" s="208"/>
      <c r="K30" s="209"/>
      <c r="L30" s="208"/>
      <c r="M30" s="209"/>
      <c r="N30" s="208"/>
      <c r="O30" s="209"/>
      <c r="P30" s="208"/>
      <c r="Q30" s="209"/>
      <c r="R30" s="208"/>
      <c r="S30" s="209"/>
      <c r="T30" s="208"/>
      <c r="U30" s="209"/>
      <c r="V30" s="208"/>
      <c r="W30" s="209"/>
      <c r="X30" s="208"/>
      <c r="Y30" s="209"/>
      <c r="Z30" s="208"/>
      <c r="AA30" s="209"/>
      <c r="AB30" s="208"/>
      <c r="AC30" s="209"/>
      <c r="AD30" s="208"/>
    </row>
    <row r="31" spans="1:30">
      <c r="F31" s="207" t="s">
        <v>48</v>
      </c>
      <c r="G31" s="26"/>
      <c r="H31" s="214"/>
      <c r="I31" s="209"/>
      <c r="J31" s="208"/>
      <c r="K31" s="209"/>
      <c r="L31" s="208"/>
      <c r="M31" s="209"/>
      <c r="N31" s="208"/>
      <c r="O31" s="209"/>
      <c r="P31" s="208"/>
      <c r="Q31" s="209"/>
      <c r="R31" s="208"/>
      <c r="S31" s="209"/>
      <c r="T31" s="208"/>
      <c r="U31" s="209"/>
      <c r="V31" s="208"/>
      <c r="W31" s="209"/>
      <c r="X31" s="208"/>
      <c r="Y31" s="209"/>
      <c r="Z31" s="208"/>
      <c r="AA31" s="209"/>
      <c r="AB31" s="208"/>
      <c r="AC31" s="209"/>
      <c r="AD31" s="208"/>
    </row>
    <row r="32" spans="1:30">
      <c r="F32" s="207" t="s">
        <v>49</v>
      </c>
      <c r="G32" s="25"/>
      <c r="H32" s="208"/>
      <c r="I32" s="209"/>
      <c r="J32" s="208"/>
      <c r="K32" s="209"/>
      <c r="L32" s="208"/>
      <c r="M32" s="209"/>
      <c r="N32" s="208"/>
      <c r="O32" s="209"/>
      <c r="P32" s="208"/>
      <c r="Q32" s="209"/>
      <c r="R32" s="208"/>
      <c r="S32" s="209"/>
      <c r="T32" s="208"/>
      <c r="U32" s="209"/>
      <c r="V32" s="208"/>
      <c r="W32" s="209"/>
      <c r="X32" s="208"/>
      <c r="Y32" s="209"/>
      <c r="Z32" s="208"/>
      <c r="AA32" s="209"/>
      <c r="AB32" s="208"/>
      <c r="AC32" s="209"/>
      <c r="AD32" s="208"/>
    </row>
    <row r="33" spans="1:30">
      <c r="F33" s="207" t="s">
        <v>50</v>
      </c>
      <c r="G33" s="25"/>
      <c r="H33" s="208"/>
      <c r="I33" s="209"/>
      <c r="J33" s="208"/>
      <c r="K33" s="209"/>
      <c r="L33" s="208"/>
      <c r="M33" s="209"/>
      <c r="N33" s="208"/>
      <c r="O33" s="209"/>
      <c r="P33" s="208"/>
      <c r="Q33" s="209"/>
      <c r="R33" s="208"/>
      <c r="S33" s="209"/>
      <c r="T33" s="208"/>
      <c r="U33" s="209"/>
      <c r="V33" s="208"/>
      <c r="W33" s="209"/>
      <c r="X33" s="208"/>
      <c r="Y33" s="209"/>
      <c r="Z33" s="208"/>
      <c r="AA33" s="209"/>
      <c r="AB33" s="208"/>
      <c r="AC33" s="209"/>
      <c r="AD33" s="208"/>
    </row>
    <row r="34" spans="1:30">
      <c r="F34" s="207" t="s">
        <v>54</v>
      </c>
      <c r="G34" s="25"/>
      <c r="H34" s="208"/>
      <c r="I34" s="209"/>
      <c r="J34" s="208"/>
      <c r="K34" s="209"/>
      <c r="L34" s="208"/>
      <c r="M34" s="209"/>
      <c r="N34" s="208"/>
      <c r="O34" s="209"/>
      <c r="P34" s="208"/>
      <c r="Q34" s="209"/>
      <c r="R34" s="208"/>
      <c r="S34" s="209"/>
      <c r="T34" s="208"/>
      <c r="U34" s="209"/>
      <c r="V34" s="208"/>
      <c r="W34" s="209"/>
      <c r="X34" s="208"/>
      <c r="Y34" s="209"/>
      <c r="Z34" s="208"/>
      <c r="AA34" s="209"/>
      <c r="AB34" s="208"/>
      <c r="AC34" s="209"/>
      <c r="AD34" s="208"/>
    </row>
    <row r="35" spans="1:30">
      <c r="F35" s="207" t="s">
        <v>51</v>
      </c>
      <c r="G35" s="25"/>
      <c r="H35" s="208"/>
      <c r="I35" s="209"/>
      <c r="J35" s="208"/>
      <c r="K35" s="209"/>
      <c r="L35" s="208"/>
      <c r="M35" s="209"/>
      <c r="N35" s="208"/>
      <c r="O35" s="209"/>
      <c r="P35" s="208"/>
      <c r="Q35" s="209"/>
      <c r="R35" s="208"/>
      <c r="S35" s="209"/>
      <c r="T35" s="208"/>
      <c r="U35" s="209"/>
      <c r="V35" s="208"/>
      <c r="W35" s="209"/>
      <c r="X35" s="208"/>
      <c r="Y35" s="209"/>
      <c r="Z35" s="208"/>
      <c r="AA35" s="209"/>
      <c r="AB35" s="208"/>
      <c r="AC35" s="209"/>
      <c r="AD35" s="208"/>
    </row>
    <row r="36" spans="1:30">
      <c r="F36" s="207" t="s">
        <v>60</v>
      </c>
      <c r="G36" s="25"/>
      <c r="H36" s="208"/>
      <c r="I36" s="209"/>
      <c r="J36" s="208"/>
      <c r="K36" s="209"/>
      <c r="L36" s="208"/>
      <c r="M36" s="209"/>
      <c r="N36" s="208"/>
      <c r="O36" s="209"/>
      <c r="P36" s="208"/>
      <c r="Q36" s="209"/>
      <c r="R36" s="208"/>
      <c r="S36" s="209"/>
      <c r="T36" s="208"/>
      <c r="U36" s="209"/>
      <c r="V36" s="208"/>
      <c r="W36" s="209"/>
      <c r="X36" s="208"/>
      <c r="Y36" s="209"/>
      <c r="Z36" s="208"/>
      <c r="AA36" s="209"/>
      <c r="AB36" s="208"/>
      <c r="AC36" s="209"/>
      <c r="AD36" s="208"/>
    </row>
    <row r="37" spans="1:30" ht="13.5" thickBot="1">
      <c r="F37" s="224"/>
      <c r="G37" s="225"/>
      <c r="H37" s="226"/>
      <c r="I37" s="227"/>
      <c r="J37" s="226"/>
      <c r="K37" s="227"/>
      <c r="L37" s="226"/>
      <c r="M37" s="227"/>
      <c r="N37" s="226"/>
      <c r="O37" s="227"/>
      <c r="P37" s="226"/>
      <c r="Q37" s="227"/>
      <c r="R37" s="226"/>
      <c r="S37" s="227"/>
      <c r="T37" s="226"/>
      <c r="U37" s="227"/>
      <c r="V37" s="226"/>
      <c r="W37" s="227"/>
      <c r="X37" s="226"/>
      <c r="Y37" s="227"/>
      <c r="Z37" s="226"/>
      <c r="AA37" s="227"/>
      <c r="AB37" s="226"/>
      <c r="AC37" s="227"/>
      <c r="AD37" s="226"/>
    </row>
    <row r="38" spans="1:30" ht="13.5" thickBot="1">
      <c r="F38" s="228" t="s">
        <v>62</v>
      </c>
      <c r="G38" s="229">
        <f>SUM(G25:G37)</f>
        <v>100</v>
      </c>
      <c r="H38" s="230">
        <f t="shared" ref="H38:AD38" si="1">SUM(H25:H37)</f>
        <v>30</v>
      </c>
      <c r="I38" s="231">
        <f t="shared" si="1"/>
        <v>15</v>
      </c>
      <c r="J38" s="230">
        <f t="shared" si="1"/>
        <v>50</v>
      </c>
      <c r="K38" s="231">
        <f t="shared" si="1"/>
        <v>25</v>
      </c>
      <c r="L38" s="230">
        <f t="shared" si="1"/>
        <v>25</v>
      </c>
      <c r="M38" s="231">
        <f t="shared" si="1"/>
        <v>1000</v>
      </c>
      <c r="N38" s="230">
        <f t="shared" si="1"/>
        <v>75</v>
      </c>
      <c r="O38" s="231">
        <f t="shared" si="1"/>
        <v>900</v>
      </c>
      <c r="P38" s="230">
        <f t="shared" si="1"/>
        <v>60</v>
      </c>
      <c r="Q38" s="231">
        <f t="shared" si="1"/>
        <v>850</v>
      </c>
      <c r="R38" s="230">
        <f t="shared" si="1"/>
        <v>65</v>
      </c>
      <c r="S38" s="231">
        <f t="shared" si="1"/>
        <v>0</v>
      </c>
      <c r="T38" s="230">
        <f t="shared" si="1"/>
        <v>0</v>
      </c>
      <c r="U38" s="231">
        <f t="shared" si="1"/>
        <v>0</v>
      </c>
      <c r="V38" s="230">
        <f t="shared" si="1"/>
        <v>0</v>
      </c>
      <c r="W38" s="231">
        <f t="shared" si="1"/>
        <v>0</v>
      </c>
      <c r="X38" s="230">
        <f t="shared" si="1"/>
        <v>0</v>
      </c>
      <c r="Y38" s="231">
        <f t="shared" si="1"/>
        <v>0</v>
      </c>
      <c r="Z38" s="230">
        <f t="shared" si="1"/>
        <v>0</v>
      </c>
      <c r="AA38" s="231">
        <f t="shared" si="1"/>
        <v>0</v>
      </c>
      <c r="AB38" s="230">
        <f t="shared" si="1"/>
        <v>0</v>
      </c>
      <c r="AC38" s="231">
        <f t="shared" si="1"/>
        <v>2890</v>
      </c>
      <c r="AD38" s="230">
        <f t="shared" si="1"/>
        <v>305</v>
      </c>
    </row>
    <row r="39" spans="1:30">
      <c r="A39" s="42"/>
      <c r="D39" s="20" t="s">
        <v>97</v>
      </c>
      <c r="U39" s="43"/>
    </row>
    <row r="40" spans="1:30">
      <c r="A40" s="42"/>
      <c r="D40" s="20"/>
      <c r="U40" s="43"/>
    </row>
    <row r="41" spans="1:30">
      <c r="A41" s="42"/>
      <c r="D41" s="20"/>
      <c r="U41" s="43"/>
    </row>
    <row r="42" spans="1:30">
      <c r="A42" s="42"/>
      <c r="D42" s="20"/>
      <c r="U42" s="43"/>
    </row>
    <row r="43" spans="1:30">
      <c r="A43" s="42"/>
      <c r="D43" s="20"/>
      <c r="U43" s="43"/>
    </row>
    <row r="44" spans="1:30">
      <c r="A44" s="45" t="s">
        <v>92</v>
      </c>
      <c r="B44" s="45" t="s">
        <v>93</v>
      </c>
      <c r="C44" s="45" t="s">
        <v>94</v>
      </c>
      <c r="D44" s="48" t="s">
        <v>96</v>
      </c>
      <c r="E44" s="48" t="s">
        <v>98</v>
      </c>
      <c r="F44" s="48" t="s">
        <v>72</v>
      </c>
      <c r="U44" s="44"/>
    </row>
    <row r="45" spans="1:30" ht="15">
      <c r="A45" s="29" t="s">
        <v>25</v>
      </c>
      <c r="B45" s="39" t="s">
        <v>25</v>
      </c>
      <c r="C45" s="39" t="str">
        <f>+A45&amp;B45</f>
        <v>ROUNDROUND</v>
      </c>
      <c r="D45" s="40">
        <v>40</v>
      </c>
      <c r="E45" s="40">
        <v>30</v>
      </c>
      <c r="F45" s="40">
        <v>2200</v>
      </c>
      <c r="U45" s="44"/>
    </row>
    <row r="46" spans="1:30" ht="15">
      <c r="A46" s="29" t="s">
        <v>25</v>
      </c>
      <c r="B46" s="39" t="s">
        <v>68</v>
      </c>
      <c r="C46" s="39" t="str">
        <f>+A46&amp;B46</f>
        <v>ROUND+30</v>
      </c>
      <c r="D46" s="40">
        <v>40</v>
      </c>
      <c r="E46" s="40">
        <v>30</v>
      </c>
      <c r="F46" s="40"/>
      <c r="U46" s="44"/>
    </row>
    <row r="47" spans="1:30" ht="15">
      <c r="A47" s="29" t="s">
        <v>25</v>
      </c>
      <c r="B47" s="39" t="s">
        <v>69</v>
      </c>
      <c r="C47" s="39" t="str">
        <f t="shared" ref="C47:C55" si="2">+A47&amp;B47</f>
        <v>ROUND+23</v>
      </c>
      <c r="D47" s="40">
        <v>40</v>
      </c>
      <c r="E47" s="40">
        <v>30</v>
      </c>
      <c r="F47" s="40"/>
      <c r="U47" s="44"/>
    </row>
    <row r="48" spans="1:30" ht="15">
      <c r="A48" s="29" t="s">
        <v>25</v>
      </c>
      <c r="B48" s="39" t="s">
        <v>70</v>
      </c>
      <c r="C48" s="39" t="str">
        <f t="shared" si="2"/>
        <v>ROUND+18</v>
      </c>
      <c r="D48" s="40">
        <v>40</v>
      </c>
      <c r="E48" s="40">
        <v>15</v>
      </c>
      <c r="F48" s="40"/>
      <c r="U48" s="44"/>
    </row>
    <row r="49" spans="1:21" ht="15">
      <c r="A49" s="29" t="s">
        <v>25</v>
      </c>
      <c r="B49" s="39" t="s">
        <v>71</v>
      </c>
      <c r="C49" s="39" t="str">
        <f t="shared" si="2"/>
        <v>ROUND+14</v>
      </c>
      <c r="D49" s="40">
        <v>40</v>
      </c>
      <c r="E49" s="40">
        <v>15</v>
      </c>
      <c r="F49" s="40"/>
      <c r="U49" s="44"/>
    </row>
    <row r="50" spans="1:21" ht="15">
      <c r="A50" s="29" t="s">
        <v>25</v>
      </c>
      <c r="B50" s="39" t="s">
        <v>72</v>
      </c>
      <c r="C50" s="39" t="str">
        <f t="shared" si="2"/>
        <v>ROUND+11</v>
      </c>
      <c r="D50" s="40">
        <v>40</v>
      </c>
      <c r="E50" s="40">
        <v>15</v>
      </c>
      <c r="F50" s="40"/>
      <c r="U50" s="44"/>
    </row>
    <row r="51" spans="1:21" ht="15">
      <c r="A51" s="29" t="s">
        <v>25</v>
      </c>
      <c r="B51" s="39" t="s">
        <v>73</v>
      </c>
      <c r="C51" s="39" t="str">
        <f t="shared" si="2"/>
        <v>ROUND+6.5</v>
      </c>
      <c r="D51" s="40">
        <v>40</v>
      </c>
      <c r="E51" s="40">
        <v>15</v>
      </c>
      <c r="F51" s="40"/>
      <c r="U51" s="44"/>
    </row>
    <row r="52" spans="1:21" ht="15">
      <c r="A52" s="29" t="s">
        <v>25</v>
      </c>
      <c r="B52" s="39" t="s">
        <v>74</v>
      </c>
      <c r="C52" s="39" t="str">
        <f t="shared" si="2"/>
        <v>ROUND-6.5</v>
      </c>
      <c r="D52" s="40">
        <v>40</v>
      </c>
      <c r="E52" s="40">
        <v>15</v>
      </c>
      <c r="F52" s="40"/>
      <c r="U52" s="43"/>
    </row>
    <row r="53" spans="1:21" ht="15">
      <c r="A53" s="39" t="s">
        <v>26</v>
      </c>
      <c r="B53" s="39" t="s">
        <v>26</v>
      </c>
      <c r="C53" s="39" t="str">
        <f t="shared" si="2"/>
        <v>FANCYFANCY</v>
      </c>
      <c r="D53" s="40">
        <v>150</v>
      </c>
      <c r="E53" s="40">
        <v>140</v>
      </c>
      <c r="F53" s="40"/>
      <c r="U53" s="43"/>
    </row>
    <row r="54" spans="1:21" ht="15">
      <c r="A54" s="39" t="s">
        <v>61</v>
      </c>
      <c r="B54" s="39" t="s">
        <v>61</v>
      </c>
      <c r="C54" s="39" t="str">
        <f t="shared" si="2"/>
        <v>CHOKYCHOKY</v>
      </c>
      <c r="D54" s="40">
        <v>180</v>
      </c>
      <c r="E54" s="40">
        <v>150</v>
      </c>
      <c r="F54" s="40"/>
      <c r="U54" s="43"/>
    </row>
    <row r="55" spans="1:21" ht="15">
      <c r="A55" s="39" t="s">
        <v>75</v>
      </c>
      <c r="B55" s="39" t="s">
        <v>75</v>
      </c>
      <c r="C55" s="39" t="str">
        <f t="shared" si="2"/>
        <v>4 STEP4 STEP</v>
      </c>
      <c r="D55" s="40">
        <v>160</v>
      </c>
      <c r="E55" s="40">
        <v>140</v>
      </c>
      <c r="F55" s="40"/>
    </row>
    <row r="58" spans="1:21" ht="15">
      <c r="A58" s="41"/>
    </row>
    <row r="65" spans="1:3">
      <c r="A65" s="85" t="s">
        <v>101</v>
      </c>
      <c r="B65" s="85" t="s">
        <v>111</v>
      </c>
      <c r="C65" s="85" t="s">
        <v>116</v>
      </c>
    </row>
    <row r="66" spans="1:3">
      <c r="A66" s="46" t="s">
        <v>96</v>
      </c>
      <c r="B66" s="25">
        <v>80</v>
      </c>
      <c r="C66" s="25">
        <v>68</v>
      </c>
    </row>
    <row r="67" spans="1:3">
      <c r="A67" s="47" t="s">
        <v>98</v>
      </c>
      <c r="B67" s="25"/>
      <c r="C67" s="25">
        <v>50</v>
      </c>
    </row>
    <row r="68" spans="1:3">
      <c r="A68" s="47" t="s">
        <v>72</v>
      </c>
      <c r="B68" s="25"/>
      <c r="C68" s="25">
        <v>88</v>
      </c>
    </row>
  </sheetData>
  <mergeCells count="3">
    <mergeCell ref="AC3:AD3"/>
    <mergeCell ref="AC23:AD23"/>
    <mergeCell ref="A4:B4"/>
  </mergeCells>
  <conditionalFormatting sqref="A6:A30">
    <cfRule type="duplicateValues" dxfId="2" priority="1"/>
  </conditionalFormatting>
  <pageMargins left="0.7" right="0.7" top="0.75" bottom="0.75" header="0.3" footer="0.3"/>
  <pageSetup paperSize="123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8"/>
  <sheetViews>
    <sheetView workbookViewId="0">
      <selection activeCell="E31" sqref="E31"/>
    </sheetView>
  </sheetViews>
  <sheetFormatPr defaultRowHeight="12.75"/>
  <cols>
    <col min="1" max="1" width="9.140625" style="21"/>
    <col min="2" max="2" width="44.28515625" bestFit="1" customWidth="1"/>
    <col min="3" max="3" width="13.28515625" bestFit="1" customWidth="1"/>
    <col min="4" max="4" width="26.7109375" bestFit="1" customWidth="1"/>
    <col min="5" max="5" width="17.28515625" bestFit="1" customWidth="1"/>
    <col min="6" max="6" width="14" bestFit="1" customWidth="1"/>
  </cols>
  <sheetData>
    <row r="2" spans="1:7" ht="13.5" thickBot="1"/>
    <row r="3" spans="1:7" s="24" customFormat="1">
      <c r="A3" s="270" t="s">
        <v>144</v>
      </c>
      <c r="B3" s="271" t="s">
        <v>145</v>
      </c>
      <c r="C3" s="271" t="s">
        <v>165</v>
      </c>
      <c r="D3" s="271" t="s">
        <v>146</v>
      </c>
      <c r="E3" s="271" t="s">
        <v>147</v>
      </c>
      <c r="F3" s="272" t="s">
        <v>148</v>
      </c>
      <c r="G3" s="204" t="s">
        <v>72</v>
      </c>
    </row>
    <row r="4" spans="1:7" ht="15.75">
      <c r="A4" s="192">
        <v>1</v>
      </c>
      <c r="B4" s="194" t="s">
        <v>122</v>
      </c>
      <c r="C4" s="194" t="s">
        <v>166</v>
      </c>
      <c r="D4" s="193" t="s">
        <v>125</v>
      </c>
      <c r="E4" s="195" t="s">
        <v>128</v>
      </c>
      <c r="F4" s="196" t="s">
        <v>149</v>
      </c>
      <c r="G4" s="25">
        <v>2200</v>
      </c>
    </row>
    <row r="5" spans="1:7" ht="15.75">
      <c r="A5" s="192">
        <f>+A4+1</f>
        <v>2</v>
      </c>
      <c r="B5" s="194" t="s">
        <v>140</v>
      </c>
      <c r="C5" s="194" t="s">
        <v>166</v>
      </c>
      <c r="D5" s="193" t="s">
        <v>125</v>
      </c>
      <c r="E5" s="195" t="s">
        <v>141</v>
      </c>
      <c r="F5" s="196" t="s">
        <v>150</v>
      </c>
      <c r="G5" s="25">
        <v>2200</v>
      </c>
    </row>
    <row r="6" spans="1:7" ht="15.75">
      <c r="A6" s="192">
        <f>+A5+1</f>
        <v>3</v>
      </c>
      <c r="B6" s="194" t="s">
        <v>142</v>
      </c>
      <c r="C6" s="194" t="s">
        <v>166</v>
      </c>
      <c r="D6" s="193" t="s">
        <v>125</v>
      </c>
      <c r="E6" s="195" t="s">
        <v>143</v>
      </c>
      <c r="F6" s="195" t="s">
        <v>151</v>
      </c>
      <c r="G6" s="25">
        <v>2200</v>
      </c>
    </row>
    <row r="7" spans="1:7" ht="15.75">
      <c r="A7" s="192">
        <f t="shared" ref="A7:A8" si="0">+A6+1</f>
        <v>4</v>
      </c>
      <c r="B7" s="25"/>
      <c r="C7" s="194" t="s">
        <v>167</v>
      </c>
      <c r="D7" s="25"/>
      <c r="E7" s="25"/>
      <c r="F7" s="25"/>
      <c r="G7" s="25">
        <v>2000</v>
      </c>
    </row>
    <row r="8" spans="1:7">
      <c r="A8" s="192">
        <f t="shared" si="0"/>
        <v>5</v>
      </c>
      <c r="B8" s="25"/>
      <c r="C8" s="27" t="s">
        <v>168</v>
      </c>
      <c r="D8" s="25"/>
      <c r="E8" s="25"/>
      <c r="F8" s="25"/>
      <c r="G8" s="25">
        <v>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83"/>
  <sheetViews>
    <sheetView zoomScaleNormal="100" workbookViewId="0">
      <selection activeCell="M17" sqref="M17"/>
    </sheetView>
  </sheetViews>
  <sheetFormatPr defaultRowHeight="12.75"/>
  <cols>
    <col min="2" max="2" width="6.7109375" style="145" bestFit="1" customWidth="1"/>
    <col min="3" max="3" width="15.7109375" style="145" bestFit="1" customWidth="1"/>
    <col min="4" max="4" width="10" style="145" bestFit="1" customWidth="1"/>
    <col min="5" max="5" width="7.5703125" style="145" customWidth="1"/>
    <col min="6" max="6" width="8" style="145" customWidth="1"/>
    <col min="7" max="7" width="9.42578125" style="145" customWidth="1"/>
    <col min="8" max="8" width="12.28515625" style="145" bestFit="1" customWidth="1"/>
    <col min="9" max="9" width="18" style="145" customWidth="1"/>
    <col min="10" max="11" width="9.140625" style="145"/>
  </cols>
  <sheetData>
    <row r="1" spans="1:18" ht="15.75" thickBot="1">
      <c r="B1" s="285" t="s">
        <v>118</v>
      </c>
      <c r="C1" s="286"/>
      <c r="D1" s="286"/>
      <c r="E1" s="286"/>
      <c r="F1" s="286"/>
      <c r="G1" s="286"/>
      <c r="H1" s="286"/>
      <c r="I1" s="287"/>
    </row>
    <row r="2" spans="1:18" ht="15">
      <c r="B2" s="288" t="s">
        <v>119</v>
      </c>
      <c r="C2" s="289"/>
      <c r="D2" s="289"/>
      <c r="E2" s="289"/>
      <c r="F2" s="289"/>
      <c r="G2" s="289"/>
      <c r="H2" s="289"/>
      <c r="I2" s="290"/>
    </row>
    <row r="3" spans="1:18">
      <c r="B3" s="317" t="s">
        <v>120</v>
      </c>
      <c r="C3" s="318"/>
      <c r="D3" s="318"/>
      <c r="E3" s="318"/>
      <c r="F3" s="318"/>
      <c r="G3" s="318"/>
      <c r="H3" s="318"/>
      <c r="I3" s="319"/>
    </row>
    <row r="4" spans="1:18" ht="15.75">
      <c r="B4" s="197" t="s">
        <v>121</v>
      </c>
      <c r="C4" s="320" t="s">
        <v>142</v>
      </c>
      <c r="D4" s="320"/>
      <c r="E4" s="320"/>
      <c r="F4" s="320"/>
      <c r="G4" s="320"/>
      <c r="H4" s="146" t="s">
        <v>123</v>
      </c>
      <c r="I4" s="203">
        <v>285</v>
      </c>
    </row>
    <row r="5" spans="1:18" ht="15">
      <c r="B5" s="197" t="s">
        <v>124</v>
      </c>
      <c r="C5" s="324" t="str">
        <f>VLOOKUP($C$4,'PARTY MASTER'!$B$3:$F$6,2,FALSE)</f>
        <v>NEW BOMBAY</v>
      </c>
      <c r="D5" s="324"/>
      <c r="E5" s="324"/>
      <c r="F5" s="324"/>
      <c r="G5" s="324"/>
      <c r="H5" s="146" t="s">
        <v>126</v>
      </c>
      <c r="I5" s="202">
        <f ca="1">TODAY()</f>
        <v>46105</v>
      </c>
    </row>
    <row r="6" spans="1:18" ht="15">
      <c r="B6" s="199" t="s">
        <v>127</v>
      </c>
      <c r="C6" s="324" t="str">
        <f>VLOOKUP($C$4,'PARTY MASTER'!$B$3:$F$6,3,FALSE)</f>
        <v>BDB, BKC BANDRA,MUMBAI</v>
      </c>
      <c r="D6" s="324"/>
      <c r="E6" s="324"/>
      <c r="F6" s="324"/>
      <c r="G6" s="324"/>
      <c r="H6" s="291" t="s">
        <v>129</v>
      </c>
      <c r="I6" s="292"/>
    </row>
    <row r="7" spans="1:18" ht="15">
      <c r="B7" s="200" t="s">
        <v>130</v>
      </c>
      <c r="C7" s="324" t="str">
        <f>VLOOKUP($C$4,'PARTY MASTER'!$B$3:$F$6,4,FALSE)</f>
        <v>27AAAFP0525F1ZP</v>
      </c>
      <c r="D7" s="324"/>
      <c r="E7" s="324"/>
      <c r="F7" s="324"/>
      <c r="G7" s="324"/>
      <c r="H7" s="293" t="s">
        <v>131</v>
      </c>
      <c r="I7" s="294"/>
    </row>
    <row r="8" spans="1:18" ht="15.75" thickBot="1">
      <c r="B8" s="150"/>
      <c r="C8" s="149"/>
      <c r="D8" s="149"/>
      <c r="E8" s="149"/>
      <c r="F8" s="149"/>
      <c r="G8" s="151" t="s">
        <v>99</v>
      </c>
      <c r="H8" s="295" t="s">
        <v>132</v>
      </c>
      <c r="I8" s="296"/>
    </row>
    <row r="9" spans="1:18" ht="13.5" thickBot="1">
      <c r="B9" s="189" t="s">
        <v>133</v>
      </c>
      <c r="C9" s="190" t="s">
        <v>134</v>
      </c>
      <c r="D9" s="190" t="s">
        <v>161</v>
      </c>
      <c r="E9" s="186" t="s">
        <v>93</v>
      </c>
      <c r="F9" s="187" t="s">
        <v>77</v>
      </c>
      <c r="G9" s="188" t="s">
        <v>78</v>
      </c>
      <c r="H9" s="190" t="s">
        <v>152</v>
      </c>
      <c r="I9" s="191" t="s">
        <v>162</v>
      </c>
    </row>
    <row r="10" spans="1:18" ht="13.5" thickBot="1">
      <c r="A10" t="str">
        <f>+'DATA DUMP'!B2</f>
        <v>17A,17B</v>
      </c>
      <c r="B10" s="154">
        <v>1</v>
      </c>
      <c r="C10" s="232" t="str">
        <f>+'DATA DUMP'!$D$3</f>
        <v>145/Q/11/SUB</v>
      </c>
      <c r="D10" s="148">
        <f>+RESULT!D3</f>
        <v>324.54000000000002</v>
      </c>
      <c r="E10" s="183" t="s">
        <v>25</v>
      </c>
      <c r="F10" s="184">
        <f>+IFERROR(RESULT!E8," ")</f>
        <v>100</v>
      </c>
      <c r="G10" s="184">
        <f>+RESULT!F8</f>
        <v>30</v>
      </c>
      <c r="H10" s="156"/>
      <c r="I10" s="185"/>
    </row>
    <row r="11" spans="1:18" ht="13.5" thickBot="1">
      <c r="B11" s="154">
        <f>+B10+1</f>
        <v>2</v>
      </c>
      <c r="C11" s="232"/>
      <c r="D11" s="148"/>
      <c r="E11" s="152" t="s">
        <v>68</v>
      </c>
      <c r="F11" s="184">
        <f>+IFERROR(RESULT!E9," ")</f>
        <v>15</v>
      </c>
      <c r="G11" s="169">
        <f>+RESULT!F9</f>
        <v>50</v>
      </c>
      <c r="H11" s="156"/>
      <c r="I11" s="153"/>
      <c r="R11" s="201"/>
    </row>
    <row r="12" spans="1:18">
      <c r="B12" s="154">
        <f t="shared" ref="B12:B20" si="0">+B11+1</f>
        <v>3</v>
      </c>
      <c r="C12" s="155"/>
      <c r="D12" s="148"/>
      <c r="E12" s="152" t="s">
        <v>69</v>
      </c>
      <c r="F12" s="184">
        <f>+IFERROR(RESULT!E10," ")</f>
        <v>25</v>
      </c>
      <c r="G12" s="169">
        <f>+RESULT!F10</f>
        <v>25</v>
      </c>
      <c r="H12" s="156"/>
      <c r="I12" s="153"/>
    </row>
    <row r="13" spans="1:18">
      <c r="B13" s="154">
        <f t="shared" si="0"/>
        <v>4</v>
      </c>
      <c r="C13" s="155"/>
      <c r="D13" s="148"/>
      <c r="E13" s="152" t="s">
        <v>70</v>
      </c>
      <c r="F13" s="184">
        <f>+IFERROR(RESULT!E11," ")</f>
        <v>1000</v>
      </c>
      <c r="G13" s="169">
        <f>+RESULT!F11</f>
        <v>75</v>
      </c>
      <c r="H13" s="156"/>
      <c r="I13" s="153"/>
    </row>
    <row r="14" spans="1:18">
      <c r="B14" s="154">
        <f t="shared" si="0"/>
        <v>5</v>
      </c>
      <c r="C14" s="155"/>
      <c r="D14" s="148"/>
      <c r="E14" s="152" t="s">
        <v>71</v>
      </c>
      <c r="F14" s="184">
        <f>+IFERROR(RESULT!E12," ")</f>
        <v>900</v>
      </c>
      <c r="G14" s="169">
        <f>+RESULT!F12</f>
        <v>60</v>
      </c>
      <c r="H14" s="156"/>
      <c r="I14" s="153"/>
    </row>
    <row r="15" spans="1:18">
      <c r="B15" s="154">
        <f t="shared" si="0"/>
        <v>6</v>
      </c>
      <c r="C15" s="155"/>
      <c r="D15" s="148"/>
      <c r="E15" s="152" t="s">
        <v>72</v>
      </c>
      <c r="F15" s="184">
        <f>+IFERROR(RESULT!E13," ")</f>
        <v>850</v>
      </c>
      <c r="G15" s="169">
        <f>+RESULT!F13</f>
        <v>65</v>
      </c>
      <c r="H15" s="156"/>
      <c r="I15" s="153"/>
    </row>
    <row r="16" spans="1:18">
      <c r="B16" s="154">
        <f t="shared" si="0"/>
        <v>7</v>
      </c>
      <c r="C16" s="155"/>
      <c r="D16" s="148"/>
      <c r="E16" s="152" t="s">
        <v>73</v>
      </c>
      <c r="F16" s="184">
        <f>+IFERROR(RESULT!E14," ")</f>
        <v>0</v>
      </c>
      <c r="G16" s="169">
        <f>+RESULT!F14</f>
        <v>0</v>
      </c>
      <c r="H16" s="156"/>
      <c r="I16" s="153"/>
    </row>
    <row r="17" spans="2:11">
      <c r="B17" s="154">
        <f t="shared" si="0"/>
        <v>8</v>
      </c>
      <c r="C17" s="155"/>
      <c r="D17" s="148"/>
      <c r="E17" s="152" t="s">
        <v>74</v>
      </c>
      <c r="F17" s="184">
        <f>+IFERROR(RESULT!E15," ")</f>
        <v>0</v>
      </c>
      <c r="G17" s="169">
        <f>+RESULT!F15</f>
        <v>0</v>
      </c>
      <c r="H17" s="156"/>
      <c r="I17" s="153"/>
    </row>
    <row r="18" spans="2:11">
      <c r="B18" s="154">
        <f t="shared" si="0"/>
        <v>9</v>
      </c>
      <c r="C18" s="155"/>
      <c r="D18" s="148"/>
      <c r="E18" s="152" t="s">
        <v>26</v>
      </c>
      <c r="F18" s="184">
        <f>+IFERROR(RESULT!E16," ")</f>
        <v>0</v>
      </c>
      <c r="G18" s="169">
        <f>+RESULT!F16</f>
        <v>0</v>
      </c>
      <c r="H18" s="156"/>
      <c r="I18" s="153"/>
    </row>
    <row r="19" spans="2:11">
      <c r="B19" s="154">
        <f t="shared" si="0"/>
        <v>10</v>
      </c>
      <c r="C19" s="157"/>
      <c r="D19" s="158"/>
      <c r="E19" s="159" t="s">
        <v>61</v>
      </c>
      <c r="F19" s="184">
        <f>+IFERROR(RESULT!E17," ")</f>
        <v>0</v>
      </c>
      <c r="G19" s="169">
        <f>+RESULT!F17</f>
        <v>0</v>
      </c>
      <c r="H19" s="160"/>
      <c r="I19" s="161"/>
    </row>
    <row r="20" spans="2:11" ht="15">
      <c r="B20" s="154">
        <f t="shared" si="0"/>
        <v>11</v>
      </c>
      <c r="C20" s="162"/>
      <c r="D20" s="163"/>
      <c r="E20" s="159" t="s">
        <v>75</v>
      </c>
      <c r="F20" s="184">
        <f>+IFERROR(RESULT!E18," ")</f>
        <v>0</v>
      </c>
      <c r="G20" s="169">
        <f>+RESULT!F18</f>
        <v>0</v>
      </c>
      <c r="H20" s="160"/>
      <c r="I20" s="161"/>
      <c r="J20" s="145" t="s">
        <v>139</v>
      </c>
      <c r="K20" s="167"/>
    </row>
    <row r="21" spans="2:11" ht="13.5" thickBot="1">
      <c r="B21" s="170"/>
      <c r="C21" s="171"/>
      <c r="D21" s="172"/>
      <c r="E21" s="173"/>
      <c r="F21" s="173"/>
      <c r="G21" s="174"/>
      <c r="H21" s="175"/>
      <c r="I21" s="176"/>
      <c r="K21" s="167"/>
    </row>
    <row r="22" spans="2:11" ht="16.5" thickBot="1">
      <c r="B22" s="178" t="s">
        <v>62</v>
      </c>
      <c r="C22" s="179"/>
      <c r="D22" s="180">
        <f>SUM(D10:D21)</f>
        <v>324.54000000000002</v>
      </c>
      <c r="E22" s="180"/>
      <c r="F22" s="181">
        <f>SUM(F10:F21)</f>
        <v>2890</v>
      </c>
      <c r="G22" s="181">
        <f>SUM(G10:G21)</f>
        <v>305</v>
      </c>
      <c r="H22" s="177"/>
      <c r="I22" s="182"/>
      <c r="K22" s="167"/>
    </row>
    <row r="23" spans="2:11" ht="16.5" customHeight="1">
      <c r="B23" s="321" t="s">
        <v>135</v>
      </c>
      <c r="C23" s="322"/>
      <c r="D23" s="322"/>
      <c r="E23" s="322"/>
      <c r="F23" s="322"/>
      <c r="G23" s="322"/>
      <c r="H23" s="322"/>
      <c r="I23" s="323"/>
      <c r="K23" s="167"/>
    </row>
    <row r="24" spans="2:11" ht="13.5" thickBot="1">
      <c r="B24" s="297" t="s">
        <v>154</v>
      </c>
      <c r="C24" s="298"/>
      <c r="D24" s="298"/>
      <c r="E24" s="298"/>
      <c r="F24" s="298"/>
      <c r="G24" s="298"/>
      <c r="H24" s="298"/>
      <c r="I24" s="299"/>
      <c r="K24" s="167"/>
    </row>
    <row r="25" spans="2:11">
      <c r="B25" s="300"/>
      <c r="C25" s="301"/>
      <c r="D25" s="301"/>
      <c r="E25" s="302" t="s">
        <v>136</v>
      </c>
      <c r="F25" s="303"/>
      <c r="G25" s="304"/>
      <c r="H25" s="304"/>
      <c r="I25" s="305"/>
      <c r="K25" s="167"/>
    </row>
    <row r="26" spans="2:11">
      <c r="B26" s="306" t="s">
        <v>137</v>
      </c>
      <c r="C26" s="307"/>
      <c r="D26" s="307"/>
      <c r="E26" s="308"/>
      <c r="F26" s="309"/>
      <c r="G26" s="309"/>
      <c r="H26" s="309"/>
      <c r="I26" s="310"/>
      <c r="K26" s="167"/>
    </row>
    <row r="27" spans="2:11" ht="15.75" thickBot="1">
      <c r="B27" s="311"/>
      <c r="C27" s="312"/>
      <c r="D27" s="312"/>
      <c r="E27" s="313" t="s">
        <v>138</v>
      </c>
      <c r="F27" s="314"/>
      <c r="G27" s="315"/>
      <c r="H27" s="315"/>
      <c r="I27" s="316"/>
      <c r="K27" s="167"/>
    </row>
    <row r="28" spans="2:11" ht="15">
      <c r="B28" s="164"/>
      <c r="C28" s="164"/>
      <c r="D28" s="164"/>
      <c r="E28" s="165"/>
      <c r="F28" s="165"/>
      <c r="G28" s="166"/>
      <c r="H28" s="166"/>
      <c r="I28" s="166"/>
      <c r="K28" s="167"/>
    </row>
    <row r="29" spans="2:11" ht="15">
      <c r="B29" s="164"/>
      <c r="C29" s="164"/>
      <c r="D29" s="164"/>
      <c r="E29" s="165"/>
      <c r="F29" s="165"/>
      <c r="G29" s="166"/>
      <c r="H29" s="166"/>
      <c r="I29" s="166"/>
      <c r="K29" s="167"/>
    </row>
    <row r="30" spans="2:11" ht="15">
      <c r="B30" s="164"/>
      <c r="C30" s="164"/>
      <c r="D30" s="164"/>
      <c r="E30" s="165"/>
      <c r="F30" s="165"/>
      <c r="G30" s="166"/>
      <c r="H30" s="166"/>
      <c r="I30" s="166"/>
      <c r="K30" s="167"/>
    </row>
    <row r="31" spans="2:11" ht="15">
      <c r="B31" s="164"/>
      <c r="C31" s="164"/>
      <c r="D31" s="164"/>
      <c r="E31" s="165"/>
      <c r="F31" s="165"/>
      <c r="G31" s="166"/>
      <c r="H31" s="166"/>
      <c r="I31" s="166"/>
      <c r="K31" s="167"/>
    </row>
    <row r="32" spans="2:11" ht="15">
      <c r="B32" s="164"/>
      <c r="C32" s="164"/>
      <c r="D32" s="164"/>
      <c r="E32" s="165"/>
      <c r="F32" s="165"/>
      <c r="G32" s="166"/>
      <c r="H32" s="166"/>
      <c r="I32" s="166"/>
      <c r="K32" s="167"/>
    </row>
    <row r="33" spans="2:11" ht="15">
      <c r="B33" s="164"/>
      <c r="C33" s="164"/>
      <c r="D33" s="164"/>
      <c r="E33" s="165"/>
      <c r="F33" s="165"/>
      <c r="G33" s="166"/>
      <c r="H33" s="166"/>
      <c r="I33" s="166"/>
      <c r="K33" s="167"/>
    </row>
    <row r="34" spans="2:11" ht="15">
      <c r="B34" s="164"/>
      <c r="C34" s="164"/>
      <c r="D34" s="164"/>
      <c r="E34" s="165"/>
      <c r="F34" s="165"/>
      <c r="G34" s="166"/>
      <c r="H34" s="166"/>
      <c r="I34" s="166"/>
      <c r="K34" s="167"/>
    </row>
    <row r="35" spans="2:11" ht="15">
      <c r="B35" s="164"/>
      <c r="C35" s="164"/>
      <c r="D35" s="164"/>
      <c r="E35" s="165"/>
      <c r="F35" s="165"/>
      <c r="G35" s="166"/>
      <c r="H35" s="166"/>
      <c r="I35" s="166"/>
      <c r="K35" s="167"/>
    </row>
    <row r="36" spans="2:11" ht="15">
      <c r="B36" s="164"/>
      <c r="C36" s="164"/>
      <c r="D36" s="164"/>
      <c r="E36" s="165"/>
      <c r="F36" s="165"/>
      <c r="G36" s="166"/>
      <c r="H36" s="166"/>
      <c r="I36" s="166"/>
      <c r="K36" s="167"/>
    </row>
    <row r="37" spans="2:11" ht="15">
      <c r="B37" s="164"/>
      <c r="C37" s="164"/>
      <c r="D37" s="164"/>
      <c r="E37" s="165"/>
      <c r="F37" s="165"/>
      <c r="G37" s="166"/>
      <c r="H37" s="166"/>
      <c r="I37" s="166"/>
      <c r="K37" s="167"/>
    </row>
    <row r="38" spans="2:11" ht="15">
      <c r="B38" s="164"/>
      <c r="C38" s="164"/>
      <c r="D38" s="164"/>
      <c r="E38" s="165"/>
      <c r="F38" s="165"/>
      <c r="G38" s="166"/>
      <c r="H38" s="166"/>
      <c r="I38" s="166"/>
      <c r="K38" s="167"/>
    </row>
    <row r="39" spans="2:11" ht="15">
      <c r="B39" s="164"/>
      <c r="C39" s="164"/>
      <c r="D39" s="164"/>
      <c r="E39" s="165"/>
      <c r="F39" s="165"/>
      <c r="G39" s="166"/>
      <c r="H39" s="166"/>
      <c r="I39" s="166"/>
      <c r="K39" s="167"/>
    </row>
    <row r="40" spans="2:11" ht="15">
      <c r="B40" s="164"/>
      <c r="C40" s="164"/>
      <c r="D40" s="164"/>
      <c r="E40" s="165"/>
      <c r="F40" s="165"/>
      <c r="G40" s="166"/>
      <c r="H40" s="166"/>
      <c r="I40" s="166"/>
      <c r="K40" s="167"/>
    </row>
    <row r="41" spans="2:11" ht="15">
      <c r="B41" s="164"/>
      <c r="C41" s="164"/>
      <c r="D41" s="164"/>
      <c r="E41" s="165"/>
      <c r="F41" s="165"/>
      <c r="G41" s="166"/>
      <c r="H41" s="166"/>
      <c r="I41" s="166"/>
      <c r="K41" s="167"/>
    </row>
    <row r="42" spans="2:11" ht="15">
      <c r="B42" s="164"/>
      <c r="C42" s="164"/>
      <c r="D42" s="164"/>
      <c r="E42" s="165"/>
      <c r="F42" s="165"/>
      <c r="G42" s="166"/>
      <c r="H42" s="166"/>
      <c r="I42" s="166"/>
      <c r="K42" s="167"/>
    </row>
    <row r="43" spans="2:11" ht="15">
      <c r="B43" s="164"/>
      <c r="C43" s="164"/>
      <c r="D43" s="164"/>
      <c r="E43" s="165"/>
      <c r="F43" s="165"/>
      <c r="G43" s="166"/>
      <c r="H43" s="166"/>
      <c r="I43" s="166"/>
      <c r="K43" s="167"/>
    </row>
    <row r="44" spans="2:11" ht="15">
      <c r="B44" s="164"/>
      <c r="C44" s="164"/>
      <c r="D44" s="164"/>
      <c r="E44" s="165"/>
      <c r="F44" s="165"/>
      <c r="G44" s="166"/>
      <c r="H44" s="166"/>
      <c r="I44" s="166"/>
      <c r="K44" s="167"/>
    </row>
    <row r="45" spans="2:11" ht="15">
      <c r="B45" s="164"/>
      <c r="C45" s="164"/>
      <c r="D45" s="164"/>
      <c r="E45" s="165"/>
      <c r="F45" s="165"/>
      <c r="G45" s="166"/>
      <c r="H45" s="166"/>
      <c r="I45" s="166"/>
      <c r="K45" s="167"/>
    </row>
    <row r="46" spans="2:11" ht="15">
      <c r="B46" s="164"/>
      <c r="C46" s="164"/>
      <c r="D46" s="164"/>
      <c r="E46" s="165"/>
      <c r="F46" s="165"/>
      <c r="G46" s="166"/>
      <c r="H46" s="166"/>
      <c r="I46" s="166"/>
      <c r="K46" s="167"/>
    </row>
    <row r="47" spans="2:11" ht="15">
      <c r="B47" s="164"/>
      <c r="C47" s="164"/>
      <c r="D47" s="164"/>
      <c r="E47" s="165"/>
      <c r="F47" s="165"/>
      <c r="G47" s="166"/>
      <c r="H47" s="166"/>
      <c r="I47" s="166"/>
      <c r="K47" s="167"/>
    </row>
    <row r="48" spans="2:11" ht="15">
      <c r="B48" s="164"/>
      <c r="C48" s="164"/>
      <c r="D48" s="164"/>
      <c r="E48" s="165"/>
      <c r="F48" s="165"/>
      <c r="G48" s="166"/>
      <c r="H48" s="166"/>
      <c r="I48" s="166"/>
      <c r="K48" s="167"/>
    </row>
    <row r="49" spans="2:11" ht="15">
      <c r="B49" s="164"/>
      <c r="C49" s="164"/>
      <c r="D49" s="164"/>
      <c r="E49" s="165"/>
      <c r="F49" s="165"/>
      <c r="G49" s="166"/>
      <c r="H49" s="166"/>
      <c r="I49" s="166"/>
      <c r="K49" s="167"/>
    </row>
    <row r="50" spans="2:11" ht="15">
      <c r="B50" s="164"/>
      <c r="C50" s="164"/>
      <c r="D50" s="164"/>
      <c r="E50" s="165"/>
      <c r="F50" s="165"/>
      <c r="G50" s="166"/>
      <c r="H50" s="166"/>
      <c r="I50" s="166"/>
      <c r="K50" s="167"/>
    </row>
    <row r="51" spans="2:11" ht="15">
      <c r="B51" s="164"/>
      <c r="C51" s="164"/>
      <c r="D51" s="164"/>
      <c r="E51" s="165"/>
      <c r="F51" s="165"/>
      <c r="G51" s="166"/>
      <c r="H51" s="166"/>
      <c r="I51" s="166"/>
      <c r="K51" s="167"/>
    </row>
    <row r="52" spans="2:11" ht="15">
      <c r="B52" s="164"/>
      <c r="C52" s="164"/>
      <c r="D52" s="164"/>
      <c r="E52" s="165"/>
      <c r="F52" s="165"/>
      <c r="G52" s="166"/>
      <c r="H52" s="166"/>
      <c r="I52" s="166"/>
      <c r="K52" s="167"/>
    </row>
    <row r="53" spans="2:11" ht="15">
      <c r="B53" s="164"/>
      <c r="C53" s="164"/>
      <c r="D53" s="164"/>
      <c r="E53" s="165"/>
      <c r="F53" s="165"/>
      <c r="G53" s="166"/>
      <c r="H53" s="166"/>
      <c r="I53" s="166"/>
      <c r="K53" s="167"/>
    </row>
    <row r="54" spans="2:11" ht="15">
      <c r="B54" s="164"/>
      <c r="C54" s="164"/>
      <c r="D54" s="164"/>
      <c r="E54" s="165"/>
      <c r="F54" s="165"/>
      <c r="G54" s="166"/>
      <c r="H54" s="166"/>
      <c r="I54" s="166"/>
      <c r="K54" s="167"/>
    </row>
    <row r="55" spans="2:11" ht="15">
      <c r="B55" s="164"/>
      <c r="C55" s="164"/>
      <c r="D55" s="164"/>
      <c r="E55" s="165"/>
      <c r="F55" s="165"/>
      <c r="G55" s="166"/>
      <c r="H55" s="166"/>
      <c r="I55" s="166"/>
      <c r="K55" s="167"/>
    </row>
    <row r="56" spans="2:11" ht="15.75" thickBot="1">
      <c r="B56" s="168"/>
      <c r="C56" s="168"/>
      <c r="D56" s="168"/>
      <c r="E56" s="168"/>
      <c r="F56" s="168"/>
      <c r="G56" s="168"/>
      <c r="H56" s="168"/>
      <c r="I56" s="168"/>
    </row>
    <row r="57" spans="2:11" ht="15.75" thickBot="1">
      <c r="B57" s="285" t="s">
        <v>160</v>
      </c>
      <c r="C57" s="286"/>
      <c r="D57" s="286"/>
      <c r="E57" s="286"/>
      <c r="F57" s="286"/>
      <c r="G57" s="286"/>
      <c r="H57" s="286"/>
      <c r="I57" s="287"/>
    </row>
    <row r="58" spans="2:11" ht="15">
      <c r="B58" s="288" t="s">
        <v>119</v>
      </c>
      <c r="C58" s="289"/>
      <c r="D58" s="289"/>
      <c r="E58" s="289"/>
      <c r="F58" s="289"/>
      <c r="G58" s="289"/>
      <c r="H58" s="289"/>
      <c r="I58" s="290"/>
    </row>
    <row r="59" spans="2:11">
      <c r="B59" s="317" t="s">
        <v>120</v>
      </c>
      <c r="C59" s="318"/>
      <c r="D59" s="318"/>
      <c r="E59" s="318"/>
      <c r="F59" s="318"/>
      <c r="G59" s="318"/>
      <c r="H59" s="318"/>
      <c r="I59" s="319"/>
    </row>
    <row r="60" spans="2:11" ht="15.75">
      <c r="B60" s="197" t="s">
        <v>121</v>
      </c>
      <c r="C60" s="320" t="str">
        <f>+C4</f>
        <v>POLAR STAR</v>
      </c>
      <c r="D60" s="320"/>
      <c r="E60" s="320"/>
      <c r="F60" s="320"/>
      <c r="G60" s="320"/>
      <c r="H60" s="146" t="s">
        <v>123</v>
      </c>
      <c r="I60" s="147">
        <f>+I4</f>
        <v>285</v>
      </c>
    </row>
    <row r="61" spans="2:11" ht="15">
      <c r="B61" s="197" t="s">
        <v>124</v>
      </c>
      <c r="C61" s="324" t="str">
        <f>VLOOKUP($C$4,'PARTY MASTER'!$B$3:$F$6,2,FALSE)</f>
        <v>NEW BOMBAY</v>
      </c>
      <c r="D61" s="324"/>
      <c r="E61" s="324"/>
      <c r="F61" s="324"/>
      <c r="G61" s="324"/>
      <c r="H61" s="146" t="s">
        <v>126</v>
      </c>
      <c r="I61" s="198">
        <f ca="1">TODAY()</f>
        <v>46105</v>
      </c>
    </row>
    <row r="62" spans="2:11" ht="15">
      <c r="B62" s="199" t="s">
        <v>127</v>
      </c>
      <c r="C62" s="324" t="str">
        <f>VLOOKUP($C$4,'PARTY MASTER'!$B$3:$F$6,3,FALSE)</f>
        <v>BDB, BKC BANDRA,MUMBAI</v>
      </c>
      <c r="D62" s="324"/>
      <c r="E62" s="324"/>
      <c r="F62" s="324"/>
      <c r="G62" s="324"/>
      <c r="H62" s="291" t="s">
        <v>129</v>
      </c>
      <c r="I62" s="292"/>
    </row>
    <row r="63" spans="2:11" ht="15">
      <c r="B63" s="200" t="s">
        <v>130</v>
      </c>
      <c r="C63" s="324" t="str">
        <f>VLOOKUP($C$4,'PARTY MASTER'!$B$3:$F$6,4,FALSE)</f>
        <v>27AAAFP0525F1ZP</v>
      </c>
      <c r="D63" s="324"/>
      <c r="E63" s="324"/>
      <c r="F63" s="324"/>
      <c r="G63" s="324"/>
      <c r="H63" s="293" t="s">
        <v>131</v>
      </c>
      <c r="I63" s="294"/>
    </row>
    <row r="64" spans="2:11" ht="15.75" thickBot="1">
      <c r="B64" s="150"/>
      <c r="C64" s="149"/>
      <c r="D64" s="149"/>
      <c r="E64" s="149"/>
      <c r="F64" s="149"/>
      <c r="G64" s="151" t="s">
        <v>99</v>
      </c>
      <c r="H64" s="325" t="s">
        <v>132</v>
      </c>
      <c r="I64" s="326"/>
    </row>
    <row r="65" spans="2:9" ht="13.5" thickBot="1">
      <c r="B65" s="189" t="s">
        <v>133</v>
      </c>
      <c r="C65" s="190" t="s">
        <v>134</v>
      </c>
      <c r="D65" s="190" t="s">
        <v>161</v>
      </c>
      <c r="E65" s="186" t="s">
        <v>93</v>
      </c>
      <c r="F65" s="187" t="s">
        <v>77</v>
      </c>
      <c r="G65" s="188" t="s">
        <v>78</v>
      </c>
      <c r="H65" s="190" t="s">
        <v>152</v>
      </c>
      <c r="I65" s="191" t="s">
        <v>162</v>
      </c>
    </row>
    <row r="66" spans="2:9">
      <c r="B66" s="154">
        <v>1</v>
      </c>
      <c r="C66" s="155" t="str">
        <f>+C10</f>
        <v>145/Q/11/SUB</v>
      </c>
      <c r="D66" s="148">
        <f>+D10</f>
        <v>324.54000000000002</v>
      </c>
      <c r="E66" s="183" t="s">
        <v>25</v>
      </c>
      <c r="F66" s="184">
        <f>+F10</f>
        <v>100</v>
      </c>
      <c r="G66" s="184">
        <f>+G10</f>
        <v>30</v>
      </c>
      <c r="H66" s="156">
        <f>IFERROR(H10,"")</f>
        <v>0</v>
      </c>
      <c r="I66" s="156">
        <f>IFERROR(I10,"")</f>
        <v>0</v>
      </c>
    </row>
    <row r="67" spans="2:9">
      <c r="B67" s="154">
        <f>+B66+1</f>
        <v>2</v>
      </c>
      <c r="C67" s="155">
        <f>+C11</f>
        <v>0</v>
      </c>
      <c r="D67" s="148"/>
      <c r="E67" s="152" t="s">
        <v>68</v>
      </c>
      <c r="F67" s="184">
        <f t="shared" ref="F67:G67" si="1">+F11</f>
        <v>15</v>
      </c>
      <c r="G67" s="184">
        <f t="shared" si="1"/>
        <v>50</v>
      </c>
      <c r="H67" s="156">
        <f t="shared" ref="H67:I67" si="2">IFERROR(H11,"")</f>
        <v>0</v>
      </c>
      <c r="I67" s="156">
        <f t="shared" si="2"/>
        <v>0</v>
      </c>
    </row>
    <row r="68" spans="2:9">
      <c r="B68" s="154">
        <f t="shared" ref="B68:B76" si="3">+B67+1</f>
        <v>3</v>
      </c>
      <c r="C68" s="155">
        <f>+C12</f>
        <v>0</v>
      </c>
      <c r="D68" s="148"/>
      <c r="E68" s="152" t="s">
        <v>69</v>
      </c>
      <c r="F68" s="184">
        <f t="shared" ref="F68:G68" si="4">+F12</f>
        <v>25</v>
      </c>
      <c r="G68" s="184">
        <f t="shared" si="4"/>
        <v>25</v>
      </c>
      <c r="H68" s="156">
        <f t="shared" ref="H68:I68" si="5">IFERROR(H12,"")</f>
        <v>0</v>
      </c>
      <c r="I68" s="156">
        <f t="shared" si="5"/>
        <v>0</v>
      </c>
    </row>
    <row r="69" spans="2:9">
      <c r="B69" s="154">
        <f t="shared" si="3"/>
        <v>4</v>
      </c>
      <c r="C69" s="155">
        <f t="shared" ref="C69:C76" si="6">+C13</f>
        <v>0</v>
      </c>
      <c r="D69" s="148"/>
      <c r="E69" s="152" t="s">
        <v>70</v>
      </c>
      <c r="F69" s="184">
        <f t="shared" ref="F69:G69" si="7">+F13</f>
        <v>1000</v>
      </c>
      <c r="G69" s="184">
        <f t="shared" si="7"/>
        <v>75</v>
      </c>
      <c r="H69" s="156">
        <f t="shared" ref="H69:I69" si="8">IFERROR(H13,"")</f>
        <v>0</v>
      </c>
      <c r="I69" s="156">
        <f t="shared" si="8"/>
        <v>0</v>
      </c>
    </row>
    <row r="70" spans="2:9">
      <c r="B70" s="154">
        <f t="shared" si="3"/>
        <v>5</v>
      </c>
      <c r="C70" s="155">
        <f t="shared" si="6"/>
        <v>0</v>
      </c>
      <c r="D70" s="148"/>
      <c r="E70" s="152" t="s">
        <v>71</v>
      </c>
      <c r="F70" s="184">
        <f t="shared" ref="F70:G70" si="9">+F14</f>
        <v>900</v>
      </c>
      <c r="G70" s="184">
        <f t="shared" si="9"/>
        <v>60</v>
      </c>
      <c r="H70" s="156">
        <f t="shared" ref="H70:I70" si="10">IFERROR(H14,"")</f>
        <v>0</v>
      </c>
      <c r="I70" s="156">
        <f t="shared" si="10"/>
        <v>0</v>
      </c>
    </row>
    <row r="71" spans="2:9">
      <c r="B71" s="154">
        <f t="shared" si="3"/>
        <v>6</v>
      </c>
      <c r="C71" s="155">
        <f t="shared" si="6"/>
        <v>0</v>
      </c>
      <c r="D71" s="148"/>
      <c r="E71" s="152" t="s">
        <v>72</v>
      </c>
      <c r="F71" s="184">
        <f t="shared" ref="F71:G71" si="11">+F15</f>
        <v>850</v>
      </c>
      <c r="G71" s="184">
        <f t="shared" si="11"/>
        <v>65</v>
      </c>
      <c r="H71" s="156">
        <f t="shared" ref="H71:I71" si="12">IFERROR(H15,"")</f>
        <v>0</v>
      </c>
      <c r="I71" s="156">
        <f t="shared" si="12"/>
        <v>0</v>
      </c>
    </row>
    <row r="72" spans="2:9">
      <c r="B72" s="154">
        <f t="shared" si="3"/>
        <v>7</v>
      </c>
      <c r="C72" s="155">
        <f t="shared" si="6"/>
        <v>0</v>
      </c>
      <c r="D72" s="148"/>
      <c r="E72" s="152" t="s">
        <v>73</v>
      </c>
      <c r="F72" s="184">
        <f t="shared" ref="F72:G72" si="13">+F16</f>
        <v>0</v>
      </c>
      <c r="G72" s="184">
        <f t="shared" si="13"/>
        <v>0</v>
      </c>
      <c r="H72" s="156">
        <f t="shared" ref="H72:I72" si="14">IFERROR(H16,"")</f>
        <v>0</v>
      </c>
      <c r="I72" s="156">
        <f t="shared" si="14"/>
        <v>0</v>
      </c>
    </row>
    <row r="73" spans="2:9">
      <c r="B73" s="154">
        <f t="shared" si="3"/>
        <v>8</v>
      </c>
      <c r="C73" s="155">
        <f t="shared" si="6"/>
        <v>0</v>
      </c>
      <c r="D73" s="148"/>
      <c r="E73" s="152" t="s">
        <v>74</v>
      </c>
      <c r="F73" s="184">
        <f t="shared" ref="F73:G73" si="15">+F17</f>
        <v>0</v>
      </c>
      <c r="G73" s="184">
        <f t="shared" si="15"/>
        <v>0</v>
      </c>
      <c r="H73" s="156">
        <f t="shared" ref="H73:I73" si="16">IFERROR(H17,"")</f>
        <v>0</v>
      </c>
      <c r="I73" s="156">
        <f t="shared" si="16"/>
        <v>0</v>
      </c>
    </row>
    <row r="74" spans="2:9">
      <c r="B74" s="154">
        <f t="shared" si="3"/>
        <v>9</v>
      </c>
      <c r="C74" s="155">
        <f t="shared" si="6"/>
        <v>0</v>
      </c>
      <c r="D74" s="148"/>
      <c r="E74" s="152" t="s">
        <v>26</v>
      </c>
      <c r="F74" s="184">
        <f t="shared" ref="F74:G74" si="17">+F18</f>
        <v>0</v>
      </c>
      <c r="G74" s="184">
        <f t="shared" si="17"/>
        <v>0</v>
      </c>
      <c r="H74" s="156">
        <f t="shared" ref="H74:I74" si="18">IFERROR(H18,"")</f>
        <v>0</v>
      </c>
      <c r="I74" s="156">
        <f t="shared" si="18"/>
        <v>0</v>
      </c>
    </row>
    <row r="75" spans="2:9">
      <c r="B75" s="154">
        <f t="shared" si="3"/>
        <v>10</v>
      </c>
      <c r="C75" s="155">
        <f t="shared" si="6"/>
        <v>0</v>
      </c>
      <c r="D75" s="158"/>
      <c r="E75" s="159" t="s">
        <v>61</v>
      </c>
      <c r="F75" s="184">
        <f t="shared" ref="F75:G75" si="19">+F19</f>
        <v>0</v>
      </c>
      <c r="G75" s="184">
        <f t="shared" si="19"/>
        <v>0</v>
      </c>
      <c r="H75" s="156">
        <f t="shared" ref="H75:I75" si="20">IFERROR(H19,"")</f>
        <v>0</v>
      </c>
      <c r="I75" s="156">
        <f t="shared" si="20"/>
        <v>0</v>
      </c>
    </row>
    <row r="76" spans="2:9" ht="15">
      <c r="B76" s="154">
        <f t="shared" si="3"/>
        <v>11</v>
      </c>
      <c r="C76" s="155">
        <f t="shared" si="6"/>
        <v>0</v>
      </c>
      <c r="D76" s="163"/>
      <c r="E76" s="159" t="s">
        <v>75</v>
      </c>
      <c r="F76" s="184">
        <f t="shared" ref="F76:G76" si="21">+F20</f>
        <v>0</v>
      </c>
      <c r="G76" s="184">
        <f t="shared" si="21"/>
        <v>0</v>
      </c>
      <c r="H76" s="156">
        <f t="shared" ref="H76:I76" si="22">IFERROR(H20,"")</f>
        <v>0</v>
      </c>
      <c r="I76" s="156">
        <f t="shared" si="22"/>
        <v>0</v>
      </c>
    </row>
    <row r="77" spans="2:9" ht="13.5" thickBot="1">
      <c r="B77" s="170"/>
      <c r="C77" s="171"/>
      <c r="D77" s="172"/>
      <c r="E77" s="173"/>
      <c r="F77" s="173"/>
      <c r="G77" s="174"/>
      <c r="H77" s="175"/>
      <c r="I77" s="176"/>
    </row>
    <row r="78" spans="2:9" ht="16.5" thickBot="1">
      <c r="B78" s="178" t="s">
        <v>62</v>
      </c>
      <c r="C78" s="179"/>
      <c r="D78" s="180">
        <f>SUM(D66:D77)</f>
        <v>324.54000000000002</v>
      </c>
      <c r="E78" s="180"/>
      <c r="F78" s="181">
        <f>SUM(F66:F77)</f>
        <v>2890</v>
      </c>
      <c r="G78" s="181">
        <f>SUM(G66:G77)</f>
        <v>305</v>
      </c>
      <c r="H78" s="177"/>
      <c r="I78" s="182"/>
    </row>
    <row r="79" spans="2:9">
      <c r="B79" s="321" t="s">
        <v>135</v>
      </c>
      <c r="C79" s="322"/>
      <c r="D79" s="322"/>
      <c r="E79" s="322"/>
      <c r="F79" s="322"/>
      <c r="G79" s="322"/>
      <c r="H79" s="322"/>
      <c r="I79" s="323"/>
    </row>
    <row r="80" spans="2:9" ht="13.5" thickBot="1">
      <c r="B80" s="297" t="s">
        <v>154</v>
      </c>
      <c r="C80" s="298"/>
      <c r="D80" s="298"/>
      <c r="E80" s="298"/>
      <c r="F80" s="298"/>
      <c r="G80" s="298"/>
      <c r="H80" s="298"/>
      <c r="I80" s="299"/>
    </row>
    <row r="81" spans="2:9">
      <c r="B81" s="300"/>
      <c r="C81" s="301"/>
      <c r="D81" s="301"/>
      <c r="E81" s="302" t="s">
        <v>136</v>
      </c>
      <c r="F81" s="303"/>
      <c r="G81" s="304"/>
      <c r="H81" s="304"/>
      <c r="I81" s="305"/>
    </row>
    <row r="82" spans="2:9">
      <c r="B82" s="306" t="s">
        <v>137</v>
      </c>
      <c r="C82" s="307"/>
      <c r="D82" s="307"/>
      <c r="E82" s="308"/>
      <c r="F82" s="309"/>
      <c r="G82" s="309"/>
      <c r="H82" s="309"/>
      <c r="I82" s="310"/>
    </row>
    <row r="83" spans="2:9" ht="15.75" thickBot="1">
      <c r="B83" s="311"/>
      <c r="C83" s="312"/>
      <c r="D83" s="312"/>
      <c r="E83" s="313" t="s">
        <v>138</v>
      </c>
      <c r="F83" s="314"/>
      <c r="G83" s="315"/>
      <c r="H83" s="315"/>
      <c r="I83" s="316"/>
    </row>
  </sheetData>
  <mergeCells count="36">
    <mergeCell ref="B81:D81"/>
    <mergeCell ref="E81:I81"/>
    <mergeCell ref="B82:D82"/>
    <mergeCell ref="E82:I82"/>
    <mergeCell ref="B83:D83"/>
    <mergeCell ref="E83:I83"/>
    <mergeCell ref="C63:G63"/>
    <mergeCell ref="H63:I63"/>
    <mergeCell ref="H64:I64"/>
    <mergeCell ref="B79:I79"/>
    <mergeCell ref="B80:I80"/>
    <mergeCell ref="B59:I59"/>
    <mergeCell ref="C60:G60"/>
    <mergeCell ref="C61:G61"/>
    <mergeCell ref="C62:G62"/>
    <mergeCell ref="H62:I62"/>
    <mergeCell ref="B1:I1"/>
    <mergeCell ref="B2:I2"/>
    <mergeCell ref="B3:I3"/>
    <mergeCell ref="C4:G4"/>
    <mergeCell ref="B23:I23"/>
    <mergeCell ref="C5:G5"/>
    <mergeCell ref="C6:G6"/>
    <mergeCell ref="C7:G7"/>
    <mergeCell ref="B57:I57"/>
    <mergeCell ref="B58:I58"/>
    <mergeCell ref="H6:I6"/>
    <mergeCell ref="H7:I7"/>
    <mergeCell ref="H8:I8"/>
    <mergeCell ref="B24:I24"/>
    <mergeCell ref="B25:D25"/>
    <mergeCell ref="E25:I25"/>
    <mergeCell ref="B26:D26"/>
    <mergeCell ref="E26:I26"/>
    <mergeCell ref="B27:D27"/>
    <mergeCell ref="E27:I27"/>
  </mergeCells>
  <conditionalFormatting sqref="H66:I76">
    <cfRule type="cellIs" dxfId="1" priority="2" operator="equal">
      <formula>0</formula>
    </cfRule>
  </conditionalFormatting>
  <conditionalFormatting sqref="C66:C76">
    <cfRule type="cellIs" dxfId="0" priority="1" operator="equal">
      <formula>0</formula>
    </cfRule>
  </conditionalFormatting>
  <pageMargins left="0.7" right="0.7" top="0.75" bottom="0.75" header="0.3" footer="0.3"/>
  <pageSetup scale="83" orientation="portrait" verticalDpi="180" r:id="rId1"/>
  <rowBreaks count="1" manualBreakCount="1">
    <brk id="42" min="1" max="9" man="1"/>
  </rowBreaks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odule3.CreateInvoicePDF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12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'PARTY MASTER'!$B$4:$B$6</xm:f>
          </x14:formula1>
          <xm:sqref>C4:G4 C60:G60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DATA DUMP</vt:lpstr>
      <vt:lpstr>Factory Receive</vt:lpstr>
      <vt:lpstr>Factory Repairing</vt:lpstr>
      <vt:lpstr>Factory Pending</vt:lpstr>
      <vt:lpstr>RESULT</vt:lpstr>
      <vt:lpstr>Master</vt:lpstr>
      <vt:lpstr>PARTY MASTER</vt:lpstr>
      <vt:lpstr>INVOICE</vt:lpstr>
      <vt:lpstr>INVOICE!Print_Area</vt:lpstr>
      <vt:lpstr>RESULT!Print_Area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MEET VAGHASIYA</cp:lastModifiedBy>
  <cp:lastPrinted>2026-03-15T09:03:12Z</cp:lastPrinted>
  <dcterms:created xsi:type="dcterms:W3CDTF">2026-03-07T13:44:49Z</dcterms:created>
  <dcterms:modified xsi:type="dcterms:W3CDTF">2026-03-24T07:05:19Z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01734361CD07C3C85B968AA4B2781C480C131A4BF1DCCE0484255B1E26629C81B5D5A13F83FE5A7C3280E7AA86D1E16AAC3A56BCA5F352EA310CEC1BA4B5D63E10CDEC28FAA1750BCAC94F4022A6DC80868D4B7DC6441045C077FC9205B00A260BA723C66DDB2C7AE99C2A55917C341AC36AFC2F7DF26CAFA073B9552467B6A</vt:lpwstr>
  </property>
  <property fmtid="{D5CDD505-2E9C-101B-9397-08002B2CF9AE}" pid="3" name="Business Objects Context Information1">
    <vt:lpwstr>B7BA74D10822351FD67F67B7A03DA505F27B74AE5E56484712083A58432D5E24E18DFA4349956A9A36A913E0F784C246F7AF47FB11CBBEEF01E662F073A4E49C383206818E25D6B14A226ACBDA405B20F833507936C29366E196BE3548B43F7F510E2531A12DE4D3FE0E234A4A094279AA60ACD3B44BED1F694C5E119B583EF</vt:lpwstr>
  </property>
  <property fmtid="{D5CDD505-2E9C-101B-9397-08002B2CF9AE}" pid="4" name="Business Objects Context Information2">
    <vt:lpwstr>316B9C434408AB83F9F677F2366D4BA9B5ACCE5826C0E75FF57806D14BEF4097134404E8933E558253A57CE405876AB9355517FD3276E084738E69FC672CEC5A6D986B373EF80B85140508C1EFAB365305DC6D405DDA3A747286365B86C0825E691D5B080F8642206CDF175106BF08B93297AB0B3F4165162EEA20F280E8B9F</vt:lpwstr>
  </property>
  <property fmtid="{D5CDD505-2E9C-101B-9397-08002B2CF9AE}" pid="5" name="Business Objects Context Information3">
    <vt:lpwstr>6F722C24B0A692FD8D087AC30BEFE9ECE0C9F8E81F7B92083623C156EC7631E946AFAD73EDE917FCA6A532191EEDA5F66558D630799AD9B90985BBAD8140E3F42C8DA3A88BCD6202B99B33E167FE39ADE15D24FA3065998E72D0120994FCA8D58378B477983E84A51683154EE447E79C637E8881AB8CD583729DF0BDE5F3F03</vt:lpwstr>
  </property>
  <property fmtid="{D5CDD505-2E9C-101B-9397-08002B2CF9AE}" pid="6" name="Business Objects Context Information4">
    <vt:lpwstr>D3F867A4834D6AD81F77335C60D68DE86BC219FDA68BC22E3DA3320023759B1B4CB6F5531310E68A946160F1104D3DA2325067F74FCBCD1A61FFD1968BE753DDCEF4B6A4F6409516BDAA76CEAEA36DB749E7B3B7DCA8A0C23F8410452AD77D98A5C2FE12FF79D2D5BA8DCFD9BC1D741DA71BFF7F08DC4B151C4EE778D190095</vt:lpwstr>
  </property>
  <property fmtid="{D5CDD505-2E9C-101B-9397-08002B2CF9AE}" pid="7" name="Business Objects Context Information5">
    <vt:lpwstr>0AB25A59511D48D0F7985A5E7A223436486C49963F68810B7292B4529FDDA12979DE8EE0622522783FEB0498B6A63B4E4E5A2CBEF405ECB8EF7A693166AE93568856ACD60F7A03158C931B6D35B5F09995D0217194F17A8ADB9ED3254892F91E9348DCBB05E11A0D1B3DFC3189F9DF942C82D71240441E5438D4EFFA763A6B8</vt:lpwstr>
  </property>
  <property fmtid="{D5CDD505-2E9C-101B-9397-08002B2CF9AE}" pid="8" name="Business Objects Context Information6">
    <vt:lpwstr>515EA22694295ED554E90E9228FC9824C025F875366CFD5B7C4C1F7E7E6BBAF75E647896ED2FAEE8C619666C858D21E88B636C68BE83C937ED3EDB14F9617E0511B051D6D54BEA2523D79884B743E61A70BAA0701CC20FD8B7D6E1EFA7F9CEE25C42B0D708D1174725740A64C6744A400FC425B3ECD8908BAD4B86B5B7CFF45</vt:lpwstr>
  </property>
  <property fmtid="{D5CDD505-2E9C-101B-9397-08002B2CF9AE}" pid="9" name="Business Objects Context Information7">
    <vt:lpwstr>BCD110878</vt:lpwstr>
  </property>
</Properties>
</file>